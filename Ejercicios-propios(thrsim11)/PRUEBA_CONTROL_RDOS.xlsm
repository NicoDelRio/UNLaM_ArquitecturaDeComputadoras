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600" yWindow="75" windowWidth="17715" windowHeight="7740" activeTab="5"/>
  </bookViews>
  <sheets>
    <sheet name="SUMA" sheetId="1" r:id="rId1"/>
    <sheet name="RESTA" sheetId="5" r:id="rId2"/>
    <sheet name="CONVERSION" sheetId="2" r:id="rId3"/>
    <sheet name="DEC_A_RESTO" sheetId="3" r:id="rId4"/>
    <sheet name="19_PROMEDIO" sheetId="6" r:id="rId5"/>
    <sheet name="22_VECTOR" sheetId="7" r:id="rId6"/>
  </sheets>
  <functionGroups/>
  <calcPr calcId="124519"/>
</workbook>
</file>

<file path=xl/calcChain.xml><?xml version="1.0" encoding="utf-8"?>
<calcChain xmlns="http://schemas.openxmlformats.org/spreadsheetml/2006/main">
  <c r="E21" i="7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G11"/>
  <c r="G10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H2"/>
  <c r="D23"/>
  <c r="C23"/>
  <c r="C20"/>
  <c r="C18"/>
  <c r="C15"/>
  <c r="C11"/>
  <c r="C7"/>
  <c r="C3"/>
  <c r="A21"/>
  <c r="A19"/>
  <c r="A20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4"/>
  <c r="A3"/>
  <c r="E9" i="6"/>
  <c r="C17"/>
  <c r="B18"/>
  <c r="B17"/>
  <c r="B16"/>
  <c r="B15"/>
  <c r="B14"/>
  <c r="B13"/>
  <c r="B12"/>
  <c r="B11"/>
  <c r="B10"/>
  <c r="B9"/>
  <c r="B8"/>
  <c r="B7"/>
  <c r="B6"/>
  <c r="B5"/>
  <c r="B4"/>
  <c r="B3"/>
  <c r="Q5" i="5"/>
  <c r="P5"/>
  <c r="O5" s="1"/>
  <c r="Q4"/>
  <c r="P4"/>
  <c r="O4"/>
  <c r="R5"/>
  <c r="R4"/>
  <c r="Q15"/>
  <c r="P15"/>
  <c r="O15"/>
  <c r="N15"/>
  <c r="M15" s="1"/>
  <c r="L15" s="1"/>
  <c r="K15" s="1"/>
  <c r="J15" s="1"/>
  <c r="I15" s="1"/>
  <c r="H15" s="1"/>
  <c r="G15" s="1"/>
  <c r="F15" s="1"/>
  <c r="E15" s="1"/>
  <c r="D15" s="1"/>
  <c r="C15" s="1"/>
  <c r="R11"/>
  <c r="R18" s="1"/>
  <c r="Q11"/>
  <c r="Q18" s="1"/>
  <c r="P11"/>
  <c r="P18" s="1"/>
  <c r="O11"/>
  <c r="O18" s="1"/>
  <c r="N11"/>
  <c r="N18" s="1"/>
  <c r="M11"/>
  <c r="M18" s="1"/>
  <c r="L11"/>
  <c r="L18" s="1"/>
  <c r="K11"/>
  <c r="K18" s="1"/>
  <c r="J11"/>
  <c r="J18" s="1"/>
  <c r="I11"/>
  <c r="I18" s="1"/>
  <c r="H11"/>
  <c r="H18" s="1"/>
  <c r="G11"/>
  <c r="G18" s="1"/>
  <c r="F11"/>
  <c r="F18" s="1"/>
  <c r="E11"/>
  <c r="E18" s="1"/>
  <c r="D11"/>
  <c r="D18" s="1"/>
  <c r="C11"/>
  <c r="C18" s="1"/>
  <c r="R10"/>
  <c r="R17" s="1"/>
  <c r="Q10"/>
  <c r="Q17" s="1"/>
  <c r="P10"/>
  <c r="P17" s="1"/>
  <c r="O10"/>
  <c r="O17" s="1"/>
  <c r="N10"/>
  <c r="N17" s="1"/>
  <c r="M10"/>
  <c r="M17" s="1"/>
  <c r="L10"/>
  <c r="L17" s="1"/>
  <c r="K10"/>
  <c r="K17" s="1"/>
  <c r="J10"/>
  <c r="J17" s="1"/>
  <c r="I10"/>
  <c r="I17" s="1"/>
  <c r="H10"/>
  <c r="H17" s="1"/>
  <c r="G10"/>
  <c r="G17" s="1"/>
  <c r="F10"/>
  <c r="F17" s="1"/>
  <c r="E10"/>
  <c r="E17" s="1"/>
  <c r="D10"/>
  <c r="D17" s="1"/>
  <c r="C10"/>
  <c r="C17" s="1"/>
  <c r="R12"/>
  <c r="T2"/>
  <c r="B4" i="3"/>
  <c r="AH22"/>
  <c r="Q22" s="1"/>
  <c r="AH21"/>
  <c r="AG21" s="1"/>
  <c r="AH20"/>
  <c r="Q20" s="1"/>
  <c r="AH19"/>
  <c r="AG19" s="1"/>
  <c r="AH18"/>
  <c r="AG18" s="1"/>
  <c r="AH17"/>
  <c r="Q17" s="1"/>
  <c r="AH16"/>
  <c r="AG16" s="1"/>
  <c r="AH15"/>
  <c r="Q15" s="1"/>
  <c r="AH14"/>
  <c r="Q14" s="1"/>
  <c r="AH13"/>
  <c r="AG13" s="1"/>
  <c r="AH12"/>
  <c r="AG12" s="1"/>
  <c r="AH11"/>
  <c r="AG11" s="1"/>
  <c r="AH10"/>
  <c r="AG10" s="1"/>
  <c r="AH9"/>
  <c r="Q9" s="1"/>
  <c r="AH8"/>
  <c r="AG8" s="1"/>
  <c r="T6"/>
  <c r="U6" s="1"/>
  <c r="V6" s="1"/>
  <c r="W6" s="1"/>
  <c r="X6" s="1"/>
  <c r="Y6" s="1"/>
  <c r="Z6" s="1"/>
  <c r="AA6" s="1"/>
  <c r="AB6" s="1"/>
  <c r="AC6" s="1"/>
  <c r="AD6" s="1"/>
  <c r="AE6" s="1"/>
  <c r="AF6" s="1"/>
  <c r="AG6" s="1"/>
  <c r="AH6" s="1"/>
  <c r="A9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C6"/>
  <c r="D6" s="1"/>
  <c r="E6" s="1"/>
  <c r="F6" s="1"/>
  <c r="G6" s="1"/>
  <c r="H6" s="1"/>
  <c r="I6" s="1"/>
  <c r="J6" s="1"/>
  <c r="K6" s="1"/>
  <c r="L6" s="1"/>
  <c r="M6" s="1"/>
  <c r="N6" s="1"/>
  <c r="O6" s="1"/>
  <c r="P6" s="1"/>
  <c r="Q6" s="1"/>
  <c r="C7" i="2"/>
  <c r="C2"/>
  <c r="R12" i="1"/>
  <c r="Q12"/>
  <c r="P12"/>
  <c r="O12"/>
  <c r="N12"/>
  <c r="M12"/>
  <c r="L12"/>
  <c r="K12"/>
  <c r="J12"/>
  <c r="I12"/>
  <c r="H12"/>
  <c r="G12"/>
  <c r="F12"/>
  <c r="E12"/>
  <c r="D12"/>
  <c r="C12"/>
  <c r="B12"/>
  <c r="C15"/>
  <c r="C11"/>
  <c r="C18" s="1"/>
  <c r="C10"/>
  <c r="C17" s="1"/>
  <c r="D15"/>
  <c r="D11"/>
  <c r="D18" s="1"/>
  <c r="D10"/>
  <c r="D17" s="1"/>
  <c r="D5"/>
  <c r="C4" s="1"/>
  <c r="D4"/>
  <c r="R18"/>
  <c r="Q18"/>
  <c r="P18"/>
  <c r="O18"/>
  <c r="N18"/>
  <c r="M18"/>
  <c r="L18"/>
  <c r="K18"/>
  <c r="J18"/>
  <c r="I18"/>
  <c r="H18"/>
  <c r="G18"/>
  <c r="F18"/>
  <c r="E18"/>
  <c r="R17"/>
  <c r="Q17"/>
  <c r="P17"/>
  <c r="O17"/>
  <c r="N17"/>
  <c r="M17"/>
  <c r="L17"/>
  <c r="K17"/>
  <c r="J17"/>
  <c r="I17"/>
  <c r="H17"/>
  <c r="G17"/>
  <c r="F17"/>
  <c r="E17"/>
  <c r="T2"/>
  <c r="I15"/>
  <c r="H15" s="1"/>
  <c r="G15" s="1"/>
  <c r="F15" s="1"/>
  <c r="E15" s="1"/>
  <c r="I11"/>
  <c r="H11"/>
  <c r="G11"/>
  <c r="F11"/>
  <c r="E11"/>
  <c r="I10"/>
  <c r="H10"/>
  <c r="G10"/>
  <c r="F10"/>
  <c r="E10"/>
  <c r="Q15"/>
  <c r="P15" s="1"/>
  <c r="O15" s="1"/>
  <c r="N15" s="1"/>
  <c r="M15" s="1"/>
  <c r="L15" s="1"/>
  <c r="K15" s="1"/>
  <c r="J15" s="1"/>
  <c r="R5"/>
  <c r="Q5" s="1"/>
  <c r="P5" s="1"/>
  <c r="R4"/>
  <c r="K10"/>
  <c r="R11"/>
  <c r="Q11"/>
  <c r="P11"/>
  <c r="O11"/>
  <c r="N11"/>
  <c r="M11"/>
  <c r="L11"/>
  <c r="K11"/>
  <c r="J11"/>
  <c r="J10"/>
  <c r="L10"/>
  <c r="M10"/>
  <c r="N10"/>
  <c r="O10"/>
  <c r="P10"/>
  <c r="Q10"/>
  <c r="R10"/>
  <c r="J7" i="7"/>
  <c r="B18" i="1"/>
  <c r="B18" i="5"/>
  <c r="B17"/>
  <c r="B17" i="1"/>
  <c r="J5" i="7"/>
  <c r="G5" i="6"/>
  <c r="C3" l="1"/>
  <c r="C5"/>
  <c r="E3"/>
  <c r="F3" s="1"/>
  <c r="C8"/>
  <c r="C10"/>
  <c r="C12"/>
  <c r="C14"/>
  <c r="C16"/>
  <c r="C18"/>
  <c r="C4"/>
  <c r="C6"/>
  <c r="C7"/>
  <c r="C9"/>
  <c r="C11"/>
  <c r="C13"/>
  <c r="C15"/>
  <c r="N5" i="5"/>
  <c r="N4"/>
  <c r="P12"/>
  <c r="Q12"/>
  <c r="AF11" i="3"/>
  <c r="P11"/>
  <c r="AF19"/>
  <c r="P19"/>
  <c r="AF21"/>
  <c r="P21"/>
  <c r="P10"/>
  <c r="AF10"/>
  <c r="P18"/>
  <c r="AF18"/>
  <c r="AF13"/>
  <c r="P13"/>
  <c r="P8"/>
  <c r="AF8"/>
  <c r="P12"/>
  <c r="AF12"/>
  <c r="P16"/>
  <c r="AF16"/>
  <c r="Q19"/>
  <c r="Q8"/>
  <c r="Q12"/>
  <c r="AG15"/>
  <c r="AG20"/>
  <c r="Q18"/>
  <c r="Q16"/>
  <c r="Q11"/>
  <c r="AG9"/>
  <c r="AG14"/>
  <c r="AG17"/>
  <c r="AG22"/>
  <c r="Q10"/>
  <c r="Q21"/>
  <c r="Q13"/>
  <c r="C5" i="1"/>
  <c r="Q4"/>
  <c r="O4"/>
  <c r="O5"/>
  <c r="P4"/>
  <c r="M4" i="5" l="1"/>
  <c r="M5"/>
  <c r="O12"/>
  <c r="P14" i="3"/>
  <c r="AF14"/>
  <c r="AF17"/>
  <c r="P17"/>
  <c r="AE21"/>
  <c r="O21"/>
  <c r="AE11"/>
  <c r="O11"/>
  <c r="P22"/>
  <c r="AF22"/>
  <c r="AF15"/>
  <c r="P15"/>
  <c r="AE16"/>
  <c r="O16"/>
  <c r="AE8"/>
  <c r="O8"/>
  <c r="AE18"/>
  <c r="O18"/>
  <c r="AF9"/>
  <c r="P9"/>
  <c r="P20"/>
  <c r="AF20"/>
  <c r="AE13"/>
  <c r="O13"/>
  <c r="AE19"/>
  <c r="O19"/>
  <c r="AE12"/>
  <c r="O12"/>
  <c r="AE10"/>
  <c r="O10"/>
  <c r="N5" i="1"/>
  <c r="N4"/>
  <c r="L5" i="5" l="1"/>
  <c r="L4"/>
  <c r="N12"/>
  <c r="AD10" i="3"/>
  <c r="N10"/>
  <c r="AD19"/>
  <c r="N19"/>
  <c r="AD18"/>
  <c r="N18"/>
  <c r="AD16"/>
  <c r="N16"/>
  <c r="AD21"/>
  <c r="N21"/>
  <c r="AE22"/>
  <c r="O22"/>
  <c r="AE20"/>
  <c r="O20"/>
  <c r="AE14"/>
  <c r="O14"/>
  <c r="AD12"/>
  <c r="N12"/>
  <c r="AD13"/>
  <c r="N13"/>
  <c r="AE9"/>
  <c r="O9"/>
  <c r="AD8"/>
  <c r="N8"/>
  <c r="AE15"/>
  <c r="O15"/>
  <c r="AD11"/>
  <c r="N11"/>
  <c r="AE17"/>
  <c r="O17"/>
  <c r="M5" i="1"/>
  <c r="M4"/>
  <c r="K5" i="5" l="1"/>
  <c r="K4"/>
  <c r="M12"/>
  <c r="AD17" i="3"/>
  <c r="N17"/>
  <c r="AD15"/>
  <c r="N15"/>
  <c r="AD9"/>
  <c r="N9"/>
  <c r="AC12"/>
  <c r="M12"/>
  <c r="AD20"/>
  <c r="N20"/>
  <c r="AC21"/>
  <c r="M21"/>
  <c r="AC18"/>
  <c r="M18"/>
  <c r="AC10"/>
  <c r="M10"/>
  <c r="AC11"/>
  <c r="M11"/>
  <c r="AC8"/>
  <c r="M8"/>
  <c r="AC13"/>
  <c r="M13"/>
  <c r="AD14"/>
  <c r="N14"/>
  <c r="AD22"/>
  <c r="N22"/>
  <c r="AC16"/>
  <c r="M16"/>
  <c r="AC19"/>
  <c r="M19"/>
  <c r="L5" i="1"/>
  <c r="L4"/>
  <c r="J5" i="5" l="1"/>
  <c r="J4"/>
  <c r="L12"/>
  <c r="AB19" i="3"/>
  <c r="L19"/>
  <c r="AC22"/>
  <c r="M22"/>
  <c r="AB13"/>
  <c r="L13"/>
  <c r="AB11"/>
  <c r="L11"/>
  <c r="AB18"/>
  <c r="L18"/>
  <c r="AC20"/>
  <c r="M20"/>
  <c r="AC9"/>
  <c r="M9"/>
  <c r="AC17"/>
  <c r="M17"/>
  <c r="AB16"/>
  <c r="L16"/>
  <c r="AC14"/>
  <c r="M14"/>
  <c r="AB8"/>
  <c r="L8"/>
  <c r="AB10"/>
  <c r="L10"/>
  <c r="AB21"/>
  <c r="L21"/>
  <c r="AB12"/>
  <c r="L12"/>
  <c r="AC15"/>
  <c r="M15"/>
  <c r="K5" i="1"/>
  <c r="K4"/>
  <c r="I4" i="5" l="1"/>
  <c r="I5"/>
  <c r="K12"/>
  <c r="AB15" i="3"/>
  <c r="L15"/>
  <c r="AA21"/>
  <c r="K21"/>
  <c r="AA8"/>
  <c r="K8"/>
  <c r="AA16"/>
  <c r="K16"/>
  <c r="AB9"/>
  <c r="L9"/>
  <c r="AA18"/>
  <c r="K18"/>
  <c r="AA13"/>
  <c r="K13"/>
  <c r="AA19"/>
  <c r="K19"/>
  <c r="AA12"/>
  <c r="K12"/>
  <c r="AA10"/>
  <c r="K10"/>
  <c r="AB14"/>
  <c r="L14"/>
  <c r="AB17"/>
  <c r="L17"/>
  <c r="AB20"/>
  <c r="L20"/>
  <c r="AA11"/>
  <c r="K11"/>
  <c r="AB22"/>
  <c r="L22"/>
  <c r="J5" i="1"/>
  <c r="J4"/>
  <c r="H5" i="5" l="1"/>
  <c r="H4"/>
  <c r="J12"/>
  <c r="AA22" i="3"/>
  <c r="K22"/>
  <c r="AA20"/>
  <c r="K20"/>
  <c r="AA14"/>
  <c r="K14"/>
  <c r="Z12"/>
  <c r="J12"/>
  <c r="Z13"/>
  <c r="J13"/>
  <c r="AA9"/>
  <c r="K9"/>
  <c r="Z8"/>
  <c r="J8"/>
  <c r="AA15"/>
  <c r="K15"/>
  <c r="Z11"/>
  <c r="J11"/>
  <c r="AA17"/>
  <c r="K17"/>
  <c r="Z10"/>
  <c r="J10"/>
  <c r="Z19"/>
  <c r="J19"/>
  <c r="Z18"/>
  <c r="J18"/>
  <c r="Z16"/>
  <c r="J16"/>
  <c r="Z21"/>
  <c r="J21"/>
  <c r="I4" i="1"/>
  <c r="I5"/>
  <c r="G5" i="5" l="1"/>
  <c r="G4"/>
  <c r="I12"/>
  <c r="Y21" i="3"/>
  <c r="I21"/>
  <c r="Y18"/>
  <c r="I18"/>
  <c r="Y10"/>
  <c r="I10"/>
  <c r="Y11"/>
  <c r="I11"/>
  <c r="Y8"/>
  <c r="I8"/>
  <c r="Y13"/>
  <c r="I13"/>
  <c r="Z14"/>
  <c r="J14"/>
  <c r="Z22"/>
  <c r="J22"/>
  <c r="Y16"/>
  <c r="I16"/>
  <c r="Y19"/>
  <c r="I19"/>
  <c r="Z17"/>
  <c r="J17"/>
  <c r="Z15"/>
  <c r="J15"/>
  <c r="Z9"/>
  <c r="J9"/>
  <c r="Y12"/>
  <c r="I12"/>
  <c r="Z20"/>
  <c r="J20"/>
  <c r="H4" i="1"/>
  <c r="H5"/>
  <c r="F5" i="5" l="1"/>
  <c r="F4"/>
  <c r="H12"/>
  <c r="Y20" i="3"/>
  <c r="I20"/>
  <c r="Y9"/>
  <c r="I9"/>
  <c r="Y17"/>
  <c r="I17"/>
  <c r="X16"/>
  <c r="H16"/>
  <c r="Y14"/>
  <c r="I14"/>
  <c r="X8"/>
  <c r="H8"/>
  <c r="X10"/>
  <c r="H10"/>
  <c r="X21"/>
  <c r="H21"/>
  <c r="X12"/>
  <c r="H12"/>
  <c r="Y15"/>
  <c r="I15"/>
  <c r="X19"/>
  <c r="H19"/>
  <c r="Y22"/>
  <c r="I22"/>
  <c r="X13"/>
  <c r="H13"/>
  <c r="X11"/>
  <c r="H11"/>
  <c r="X18"/>
  <c r="H18"/>
  <c r="G5" i="1"/>
  <c r="G4"/>
  <c r="E4" i="5" l="1"/>
  <c r="E5"/>
  <c r="G12"/>
  <c r="W18" i="3"/>
  <c r="G18"/>
  <c r="W13"/>
  <c r="G13"/>
  <c r="W19"/>
  <c r="G19"/>
  <c r="W12"/>
  <c r="G12"/>
  <c r="W10"/>
  <c r="G10"/>
  <c r="X14"/>
  <c r="H14"/>
  <c r="X17"/>
  <c r="H17"/>
  <c r="X20"/>
  <c r="H20"/>
  <c r="W11"/>
  <c r="G11"/>
  <c r="X22"/>
  <c r="H22"/>
  <c r="X15"/>
  <c r="H15"/>
  <c r="W21"/>
  <c r="G21"/>
  <c r="W8"/>
  <c r="G8"/>
  <c r="W16"/>
  <c r="G16"/>
  <c r="X9"/>
  <c r="H9"/>
  <c r="F5" i="1"/>
  <c r="F4"/>
  <c r="D5" i="5" l="1"/>
  <c r="D4"/>
  <c r="F12"/>
  <c r="W9" i="3"/>
  <c r="G9"/>
  <c r="V8"/>
  <c r="F8"/>
  <c r="W15"/>
  <c r="G15"/>
  <c r="V11"/>
  <c r="F11"/>
  <c r="W17"/>
  <c r="G17"/>
  <c r="V10"/>
  <c r="F10"/>
  <c r="V19"/>
  <c r="F19"/>
  <c r="V18"/>
  <c r="F18"/>
  <c r="V16"/>
  <c r="F16"/>
  <c r="V21"/>
  <c r="F21"/>
  <c r="W22"/>
  <c r="G22"/>
  <c r="W20"/>
  <c r="G20"/>
  <c r="W14"/>
  <c r="G14"/>
  <c r="V12"/>
  <c r="F12"/>
  <c r="V13"/>
  <c r="F13"/>
  <c r="E4" i="1"/>
  <c r="E5"/>
  <c r="C5" i="5" l="1"/>
  <c r="C4"/>
  <c r="E12"/>
  <c r="U13" i="3"/>
  <c r="E13"/>
  <c r="V22"/>
  <c r="F22"/>
  <c r="U19"/>
  <c r="E19"/>
  <c r="V15"/>
  <c r="F15"/>
  <c r="V9"/>
  <c r="F9"/>
  <c r="V14"/>
  <c r="F14"/>
  <c r="U16"/>
  <c r="E16"/>
  <c r="V17"/>
  <c r="F17"/>
  <c r="U12"/>
  <c r="E12"/>
  <c r="V20"/>
  <c r="F20"/>
  <c r="U21"/>
  <c r="E21"/>
  <c r="U18"/>
  <c r="E18"/>
  <c r="U10"/>
  <c r="E10"/>
  <c r="U11"/>
  <c r="E11"/>
  <c r="U8"/>
  <c r="E8"/>
  <c r="B4" i="1"/>
  <c r="D12" i="5" l="1"/>
  <c r="T8" i="3"/>
  <c r="D8"/>
  <c r="T10"/>
  <c r="D10"/>
  <c r="T21"/>
  <c r="D21"/>
  <c r="T12"/>
  <c r="D12"/>
  <c r="T16"/>
  <c r="D16"/>
  <c r="U9"/>
  <c r="E9"/>
  <c r="T19"/>
  <c r="D19"/>
  <c r="T13"/>
  <c r="D13"/>
  <c r="T11"/>
  <c r="D11"/>
  <c r="T18"/>
  <c r="D18"/>
  <c r="U20"/>
  <c r="E20"/>
  <c r="U17"/>
  <c r="E17"/>
  <c r="U14"/>
  <c r="E14"/>
  <c r="U15"/>
  <c r="E15"/>
  <c r="U22"/>
  <c r="E22"/>
  <c r="C12" i="5" l="1"/>
  <c r="B4"/>
  <c r="B12" s="1"/>
  <c r="T22" i="3"/>
  <c r="D22"/>
  <c r="T14"/>
  <c r="D14"/>
  <c r="T20"/>
  <c r="D20"/>
  <c r="S11"/>
  <c r="B11" s="1"/>
  <c r="C11"/>
  <c r="S19"/>
  <c r="B19" s="1"/>
  <c r="C19"/>
  <c r="S16"/>
  <c r="B16" s="1"/>
  <c r="C16"/>
  <c r="S21"/>
  <c r="B21" s="1"/>
  <c r="C21"/>
  <c r="S8"/>
  <c r="B8" s="1"/>
  <c r="C8"/>
  <c r="T15"/>
  <c r="D15"/>
  <c r="T17"/>
  <c r="D17"/>
  <c r="S18"/>
  <c r="B18" s="1"/>
  <c r="C18"/>
  <c r="S13"/>
  <c r="B13" s="1"/>
  <c r="C13"/>
  <c r="T9"/>
  <c r="D9"/>
  <c r="S12"/>
  <c r="B12" s="1"/>
  <c r="C12"/>
  <c r="S10"/>
  <c r="B10" s="1"/>
  <c r="C10"/>
  <c r="S9" l="1"/>
  <c r="B9" s="1"/>
  <c r="C9"/>
  <c r="S15"/>
  <c r="B15" s="1"/>
  <c r="C15"/>
  <c r="S20"/>
  <c r="B20" s="1"/>
  <c r="C20"/>
  <c r="S22"/>
  <c r="B22" s="1"/>
  <c r="C22"/>
  <c r="S17"/>
  <c r="B17" s="1"/>
  <c r="C17"/>
  <c r="S14"/>
  <c r="B14" s="1"/>
  <c r="C14"/>
</calcChain>
</file>

<file path=xl/sharedStrings.xml><?xml version="1.0" encoding="utf-8"?>
<sst xmlns="http://schemas.openxmlformats.org/spreadsheetml/2006/main" count="47" uniqueCount="26">
  <si>
    <t>HEXADECIMAL</t>
  </si>
  <si>
    <t>DECIMAL</t>
  </si>
  <si>
    <t>CARRY</t>
  </si>
  <si>
    <t>RESULTADO</t>
  </si>
  <si>
    <t>Posición</t>
  </si>
  <si>
    <t>OPERANDO1</t>
  </si>
  <si>
    <t>OPERANDO2</t>
  </si>
  <si>
    <t>1F45</t>
  </si>
  <si>
    <t>BASE</t>
  </si>
  <si>
    <t>DIGITOS</t>
  </si>
  <si>
    <t>NUMERO</t>
  </si>
  <si>
    <t>RDOS PARCIALES</t>
  </si>
  <si>
    <t>Rangos:</t>
  </si>
  <si>
    <t>NUMEROS</t>
  </si>
  <si>
    <t>EN HEXA</t>
  </si>
  <si>
    <t>SUMA AUM HEXA</t>
  </si>
  <si>
    <t>EN DECIMAL</t>
  </si>
  <si>
    <t>PROMEDIO</t>
  </si>
  <si>
    <t>LISTA PARA COPIAR EN ASSEMBLER:</t>
  </si>
  <si>
    <t>ALEATORIO (E/ 0 Y 255)</t>
  </si>
  <si>
    <t>POSICION</t>
  </si>
  <si>
    <t>NEG MULT 4</t>
  </si>
  <si>
    <t>CERO</t>
  </si>
  <si>
    <t>Cantidad</t>
  </si>
  <si>
    <t>DIR_VECTOR</t>
  </si>
  <si>
    <t>POS CEROS (HEXA)</t>
  </si>
</sst>
</file>

<file path=xl/styles.xml><?xml version="1.0" encoding="utf-8"?>
<styleSheet xmlns="http://schemas.openxmlformats.org/spreadsheetml/2006/main">
  <numFmts count="1">
    <numFmt numFmtId="6" formatCode="&quot;$&quot;\ #,##0;[Red]&quot;$&quot;\ \-#,##0"/>
  </numFmts>
  <fonts count="3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1" xfId="0" applyFill="1" applyBorder="1"/>
    <xf numFmtId="0" fontId="0" fillId="0" borderId="0" xfId="0" applyBorder="1"/>
    <xf numFmtId="0" fontId="0" fillId="0" borderId="5" xfId="0" applyBorder="1"/>
    <xf numFmtId="0" fontId="0" fillId="3" borderId="1" xfId="0" applyFill="1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2" fillId="0" borderId="0" xfId="0" applyFont="1" applyAlignment="1">
      <alignment horizontal="center"/>
    </xf>
    <xf numFmtId="6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8"/>
  <sheetViews>
    <sheetView workbookViewId="0">
      <selection activeCell="T1" sqref="T1:T2"/>
    </sheetView>
  </sheetViews>
  <sheetFormatPr baseColWidth="10" defaultRowHeight="15"/>
  <cols>
    <col min="1" max="1" width="20.5703125" customWidth="1"/>
    <col min="2" max="2" width="11.85546875" bestFit="1" customWidth="1"/>
    <col min="3" max="18" width="5.7109375" customWidth="1"/>
    <col min="19" max="19" width="9.7109375" customWidth="1"/>
    <col min="20" max="20" width="21.28515625" bestFit="1" customWidth="1"/>
  </cols>
  <sheetData>
    <row r="1" spans="1:20"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  <c r="T1" s="1" t="s">
        <v>19</v>
      </c>
    </row>
    <row r="2" spans="1:20">
      <c r="C2" s="1">
        <v>150</v>
      </c>
      <c r="D2" s="1">
        <v>245</v>
      </c>
      <c r="E2" s="1">
        <v>218</v>
      </c>
      <c r="F2" s="1">
        <v>76</v>
      </c>
      <c r="G2" s="1">
        <v>0</v>
      </c>
      <c r="H2" s="1">
        <v>222</v>
      </c>
      <c r="I2" s="1">
        <v>143</v>
      </c>
      <c r="J2" s="1">
        <v>162</v>
      </c>
      <c r="K2" s="1">
        <v>5</v>
      </c>
      <c r="L2" s="1">
        <v>40</v>
      </c>
      <c r="M2" s="1">
        <v>242</v>
      </c>
      <c r="N2" s="1">
        <v>44</v>
      </c>
      <c r="O2" s="1">
        <v>219</v>
      </c>
      <c r="P2" s="1">
        <v>189</v>
      </c>
      <c r="Q2" s="1">
        <v>193</v>
      </c>
      <c r="R2" s="1">
        <v>53</v>
      </c>
      <c r="T2" s="9">
        <f ca="1">+RANDBETWEEN(0,255)</f>
        <v>199</v>
      </c>
    </row>
    <row r="3" spans="1:20">
      <c r="C3" s="1">
        <v>167</v>
      </c>
      <c r="D3" s="1">
        <v>166</v>
      </c>
      <c r="E3" s="1">
        <v>16</v>
      </c>
      <c r="F3" s="1">
        <v>155</v>
      </c>
      <c r="G3" s="1">
        <v>245</v>
      </c>
      <c r="H3" s="1">
        <v>7</v>
      </c>
      <c r="I3" s="1">
        <v>68</v>
      </c>
      <c r="J3" s="1">
        <v>230</v>
      </c>
      <c r="K3" s="1">
        <v>89</v>
      </c>
      <c r="L3" s="1">
        <v>66</v>
      </c>
      <c r="M3" s="1">
        <v>207</v>
      </c>
      <c r="N3" s="1">
        <v>42</v>
      </c>
      <c r="O3" s="1">
        <v>25</v>
      </c>
      <c r="P3" s="1">
        <v>81</v>
      </c>
      <c r="Q3" s="1">
        <v>154</v>
      </c>
      <c r="R3" s="1">
        <v>169</v>
      </c>
    </row>
    <row r="4" spans="1:20">
      <c r="A4" s="2" t="s">
        <v>3</v>
      </c>
      <c r="B4" s="2">
        <f t="shared" ref="B4:Q4" si="0">+MOD(B2+B3+C5,256)</f>
        <v>1</v>
      </c>
      <c r="C4" s="2">
        <f t="shared" ref="C4:E4" si="1">+MOD(C2+C3+D5,256)</f>
        <v>62</v>
      </c>
      <c r="D4" s="2">
        <f t="shared" si="1"/>
        <v>155</v>
      </c>
      <c r="E4" s="2">
        <f t="shared" si="1"/>
        <v>234</v>
      </c>
      <c r="F4" s="2">
        <f t="shared" ref="F4" si="2">+MOD(F2+F3+G5,256)</f>
        <v>231</v>
      </c>
      <c r="G4" s="2">
        <f t="shared" ref="G4" si="3">+MOD(G2+G3+H5,256)</f>
        <v>245</v>
      </c>
      <c r="H4" s="2">
        <f t="shared" ref="H4" si="4">+MOD(H2+H3+I5,256)</f>
        <v>229</v>
      </c>
      <c r="I4" s="2">
        <f t="shared" ref="I4" si="5">+MOD(I2+I3+J5,256)</f>
        <v>212</v>
      </c>
      <c r="J4" s="2">
        <f t="shared" si="0"/>
        <v>136</v>
      </c>
      <c r="K4" s="2">
        <f t="shared" si="0"/>
        <v>94</v>
      </c>
      <c r="L4" s="2">
        <f t="shared" si="0"/>
        <v>107</v>
      </c>
      <c r="M4" s="2">
        <f t="shared" si="0"/>
        <v>193</v>
      </c>
      <c r="N4" s="2">
        <f t="shared" si="0"/>
        <v>86</v>
      </c>
      <c r="O4" s="2">
        <f t="shared" si="0"/>
        <v>245</v>
      </c>
      <c r="P4" s="2">
        <f t="shared" si="0"/>
        <v>15</v>
      </c>
      <c r="Q4" s="2">
        <f t="shared" si="0"/>
        <v>91</v>
      </c>
      <c r="R4" s="2">
        <f>+MOD(R2+R3+S5,256)</f>
        <v>222</v>
      </c>
    </row>
    <row r="5" spans="1:20">
      <c r="A5" s="1" t="s">
        <v>2</v>
      </c>
      <c r="B5" s="1"/>
      <c r="C5" s="1">
        <f t="shared" ref="C5:D5" si="6">+INT((C2+C3+D5)/256)</f>
        <v>1</v>
      </c>
      <c r="D5" s="1">
        <f t="shared" si="6"/>
        <v>1</v>
      </c>
      <c r="E5" s="1">
        <f t="shared" ref="E5:I5" si="7">+INT((E2+E3+F5)/256)</f>
        <v>0</v>
      </c>
      <c r="F5" s="1">
        <f t="shared" si="7"/>
        <v>0</v>
      </c>
      <c r="G5" s="1">
        <f t="shared" si="7"/>
        <v>0</v>
      </c>
      <c r="H5" s="1">
        <f t="shared" si="7"/>
        <v>0</v>
      </c>
      <c r="I5" s="1">
        <f t="shared" si="7"/>
        <v>0</v>
      </c>
      <c r="J5" s="1">
        <f t="shared" ref="J5:Q5" si="8">+INT((J2+J3+K5)/256)</f>
        <v>1</v>
      </c>
      <c r="K5" s="1">
        <f t="shared" si="8"/>
        <v>0</v>
      </c>
      <c r="L5" s="1">
        <f t="shared" si="8"/>
        <v>0</v>
      </c>
      <c r="M5" s="1">
        <f t="shared" si="8"/>
        <v>1</v>
      </c>
      <c r="N5" s="1">
        <f t="shared" si="8"/>
        <v>0</v>
      </c>
      <c r="O5" s="1">
        <f t="shared" si="8"/>
        <v>0</v>
      </c>
      <c r="P5" s="1">
        <f t="shared" si="8"/>
        <v>1</v>
      </c>
      <c r="Q5" s="1">
        <f t="shared" si="8"/>
        <v>1</v>
      </c>
      <c r="R5" s="1">
        <f>+INT((R2+R3+S5)/256)</f>
        <v>0</v>
      </c>
    </row>
    <row r="9" spans="1:20">
      <c r="C9" s="3" t="s">
        <v>0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5"/>
    </row>
    <row r="10" spans="1:20">
      <c r="C10" s="1" t="str">
        <f t="shared" ref="C10" si="9">+DEC2HEX(C2)</f>
        <v>96</v>
      </c>
      <c r="D10" s="1" t="str">
        <f t="shared" ref="D10" si="10">+DEC2HEX(D2)</f>
        <v>F5</v>
      </c>
      <c r="E10" s="1" t="str">
        <f t="shared" ref="E10:I10" si="11">+DEC2HEX(E2)</f>
        <v>DA</v>
      </c>
      <c r="F10" s="1" t="str">
        <f t="shared" si="11"/>
        <v>4C</v>
      </c>
      <c r="G10" s="1" t="str">
        <f t="shared" si="11"/>
        <v>0</v>
      </c>
      <c r="H10" s="1" t="str">
        <f t="shared" si="11"/>
        <v>DE</v>
      </c>
      <c r="I10" s="1" t="str">
        <f t="shared" si="11"/>
        <v>8F</v>
      </c>
      <c r="J10" s="1" t="str">
        <f t="shared" ref="J10:R10" si="12">+DEC2HEX(J2)</f>
        <v>A2</v>
      </c>
      <c r="K10" s="1" t="str">
        <f t="shared" si="12"/>
        <v>5</v>
      </c>
      <c r="L10" s="1" t="str">
        <f t="shared" si="12"/>
        <v>28</v>
      </c>
      <c r="M10" s="1" t="str">
        <f t="shared" si="12"/>
        <v>F2</v>
      </c>
      <c r="N10" s="1" t="str">
        <f t="shared" si="12"/>
        <v>2C</v>
      </c>
      <c r="O10" s="1" t="str">
        <f t="shared" si="12"/>
        <v>DB</v>
      </c>
      <c r="P10" s="1" t="str">
        <f t="shared" si="12"/>
        <v>BD</v>
      </c>
      <c r="Q10" s="1" t="str">
        <f t="shared" si="12"/>
        <v>C1</v>
      </c>
      <c r="R10" s="1" t="str">
        <f t="shared" si="12"/>
        <v>35</v>
      </c>
    </row>
    <row r="11" spans="1:20">
      <c r="C11" s="1" t="str">
        <f t="shared" ref="C11" si="13">+DEC2HEX(C3)</f>
        <v>A7</v>
      </c>
      <c r="D11" s="1" t="str">
        <f t="shared" ref="D11" si="14">+DEC2HEX(D3)</f>
        <v>A6</v>
      </c>
      <c r="E11" s="1" t="str">
        <f t="shared" ref="E11:I11" si="15">+DEC2HEX(E3)</f>
        <v>10</v>
      </c>
      <c r="F11" s="1" t="str">
        <f t="shared" si="15"/>
        <v>9B</v>
      </c>
      <c r="G11" s="1" t="str">
        <f t="shared" si="15"/>
        <v>F5</v>
      </c>
      <c r="H11" s="1" t="str">
        <f t="shared" si="15"/>
        <v>7</v>
      </c>
      <c r="I11" s="1" t="str">
        <f t="shared" si="15"/>
        <v>44</v>
      </c>
      <c r="J11" s="1" t="str">
        <f t="shared" ref="J11:R11" si="16">+DEC2HEX(J3)</f>
        <v>E6</v>
      </c>
      <c r="K11" s="1" t="str">
        <f t="shared" si="16"/>
        <v>59</v>
      </c>
      <c r="L11" s="1" t="str">
        <f t="shared" si="16"/>
        <v>42</v>
      </c>
      <c r="M11" s="1" t="str">
        <f t="shared" si="16"/>
        <v>CF</v>
      </c>
      <c r="N11" s="1" t="str">
        <f t="shared" si="16"/>
        <v>2A</v>
      </c>
      <c r="O11" s="1" t="str">
        <f t="shared" si="16"/>
        <v>19</v>
      </c>
      <c r="P11" s="1" t="str">
        <f t="shared" si="16"/>
        <v>51</v>
      </c>
      <c r="Q11" s="1" t="str">
        <f t="shared" si="16"/>
        <v>9A</v>
      </c>
      <c r="R11" s="1" t="str">
        <f t="shared" si="16"/>
        <v>A9</v>
      </c>
    </row>
    <row r="12" spans="1:20">
      <c r="A12" s="2" t="s">
        <v>3</v>
      </c>
      <c r="B12" s="2" t="str">
        <f>TEXT(DEC2HEX(B4),"00")</f>
        <v>01</v>
      </c>
      <c r="C12" s="2" t="str">
        <f t="shared" ref="C12:R12" si="17">TEXT(DEC2HEX(C4),"00")</f>
        <v>3E</v>
      </c>
      <c r="D12" s="2" t="str">
        <f t="shared" si="17"/>
        <v>9B</v>
      </c>
      <c r="E12" s="2" t="str">
        <f t="shared" si="17"/>
        <v>EA</v>
      </c>
      <c r="F12" s="2" t="str">
        <f t="shared" si="17"/>
        <v>E7</v>
      </c>
      <c r="G12" s="2" t="str">
        <f t="shared" si="17"/>
        <v>F5</v>
      </c>
      <c r="H12" s="2" t="str">
        <f t="shared" si="17"/>
        <v>E5</v>
      </c>
      <c r="I12" s="2" t="str">
        <f t="shared" si="17"/>
        <v>D4</v>
      </c>
      <c r="J12" s="2" t="str">
        <f t="shared" si="17"/>
        <v>88</v>
      </c>
      <c r="K12" s="2" t="str">
        <f t="shared" si="17"/>
        <v>5E</v>
      </c>
      <c r="L12" s="2" t="str">
        <f t="shared" si="17"/>
        <v>6B</v>
      </c>
      <c r="M12" s="2" t="str">
        <f t="shared" si="17"/>
        <v>C1</v>
      </c>
      <c r="N12" s="2" t="str">
        <f t="shared" si="17"/>
        <v>56</v>
      </c>
      <c r="O12" s="2" t="str">
        <f t="shared" si="17"/>
        <v>F5</v>
      </c>
      <c r="P12" s="2" t="str">
        <f t="shared" si="17"/>
        <v>F</v>
      </c>
      <c r="Q12" s="2" t="str">
        <f t="shared" si="17"/>
        <v>5B</v>
      </c>
      <c r="R12" s="2" t="str">
        <f t="shared" si="17"/>
        <v>DE</v>
      </c>
    </row>
    <row r="13" spans="1:20">
      <c r="A13" s="1" t="s">
        <v>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5" spans="1:20">
      <c r="A15" t="s">
        <v>4</v>
      </c>
      <c r="C15">
        <f t="shared" ref="C15" si="18">+D15+1</f>
        <v>16</v>
      </c>
      <c r="D15">
        <f t="shared" ref="D15" si="19">+E15+1</f>
        <v>15</v>
      </c>
      <c r="E15">
        <f t="shared" ref="E15:I15" si="20">+F15+1</f>
        <v>14</v>
      </c>
      <c r="F15">
        <f t="shared" si="20"/>
        <v>13</v>
      </c>
      <c r="G15">
        <f t="shared" si="20"/>
        <v>12</v>
      </c>
      <c r="H15">
        <f t="shared" si="20"/>
        <v>11</v>
      </c>
      <c r="I15">
        <f t="shared" si="20"/>
        <v>10</v>
      </c>
      <c r="J15">
        <f t="shared" ref="J15:P15" si="21">+K15+1</f>
        <v>9</v>
      </c>
      <c r="K15">
        <f t="shared" si="21"/>
        <v>8</v>
      </c>
      <c r="L15">
        <f t="shared" si="21"/>
        <v>7</v>
      </c>
      <c r="M15">
        <f t="shared" si="21"/>
        <v>6</v>
      </c>
      <c r="N15">
        <f t="shared" si="21"/>
        <v>5</v>
      </c>
      <c r="O15">
        <f t="shared" si="21"/>
        <v>4</v>
      </c>
      <c r="P15">
        <f t="shared" si="21"/>
        <v>3</v>
      </c>
      <c r="Q15">
        <f>+R15+1</f>
        <v>2</v>
      </c>
      <c r="R15">
        <v>1</v>
      </c>
    </row>
    <row r="17" spans="1:18">
      <c r="A17" t="s">
        <v>5</v>
      </c>
      <c r="B17" t="str">
        <f>+CONCATENARCELDAS(C17:R17)</f>
        <v>$96,$F5,$DA,$4C,$00,$DE,$8F,$A2,$05,$28,$F2,$2C,$DB,$BD,$C1,$35</v>
      </c>
      <c r="C17" t="str">
        <f t="shared" ref="C17" si="22">"$"&amp;TEXT(C10,"00")</f>
        <v>$96</v>
      </c>
      <c r="D17" t="str">
        <f t="shared" ref="D17" si="23">"$"&amp;TEXT(D10,"00")</f>
        <v>$F5</v>
      </c>
      <c r="E17" t="str">
        <f t="shared" ref="E17:R17" si="24">"$"&amp;TEXT(E10,"00")</f>
        <v>$DA</v>
      </c>
      <c r="F17" t="str">
        <f t="shared" si="24"/>
        <v>$4C</v>
      </c>
      <c r="G17" t="str">
        <f t="shared" si="24"/>
        <v>$00</v>
      </c>
      <c r="H17" t="str">
        <f t="shared" si="24"/>
        <v>$DE</v>
      </c>
      <c r="I17" t="str">
        <f t="shared" si="24"/>
        <v>$8F</v>
      </c>
      <c r="J17" t="str">
        <f t="shared" si="24"/>
        <v>$A2</v>
      </c>
      <c r="K17" t="str">
        <f t="shared" si="24"/>
        <v>$05</v>
      </c>
      <c r="L17" t="str">
        <f t="shared" si="24"/>
        <v>$28</v>
      </c>
      <c r="M17" t="str">
        <f t="shared" si="24"/>
        <v>$F2</v>
      </c>
      <c r="N17" t="str">
        <f t="shared" si="24"/>
        <v>$2C</v>
      </c>
      <c r="O17" t="str">
        <f t="shared" si="24"/>
        <v>$DB</v>
      </c>
      <c r="P17" t="str">
        <f t="shared" si="24"/>
        <v>$BD</v>
      </c>
      <c r="Q17" t="str">
        <f t="shared" si="24"/>
        <v>$C1</v>
      </c>
      <c r="R17" t="str">
        <f t="shared" si="24"/>
        <v>$35</v>
      </c>
    </row>
    <row r="18" spans="1:18">
      <c r="A18" t="s">
        <v>6</v>
      </c>
      <c r="B18" t="str">
        <f>+CONCATENARCELDAS(C18:R18)</f>
        <v>$A7,$A6,$10,$9B,$F5,$07,$44,$E6,$59,$42,$CF,$2A,$19,$51,$9A,$A9</v>
      </c>
      <c r="C18" t="str">
        <f t="shared" ref="C18" si="25">"$"&amp;TEXT(C11,"00")</f>
        <v>$A7</v>
      </c>
      <c r="D18" t="str">
        <f t="shared" ref="D18" si="26">"$"&amp;TEXT(D11,"00")</f>
        <v>$A6</v>
      </c>
      <c r="E18" t="str">
        <f t="shared" ref="E18:R18" si="27">"$"&amp;TEXT(E11,"00")</f>
        <v>$10</v>
      </c>
      <c r="F18" t="str">
        <f t="shared" si="27"/>
        <v>$9B</v>
      </c>
      <c r="G18" t="str">
        <f t="shared" si="27"/>
        <v>$F5</v>
      </c>
      <c r="H18" t="str">
        <f t="shared" si="27"/>
        <v>$07</v>
      </c>
      <c r="I18" t="str">
        <f t="shared" si="27"/>
        <v>$44</v>
      </c>
      <c r="J18" t="str">
        <f t="shared" si="27"/>
        <v>$E6</v>
      </c>
      <c r="K18" t="str">
        <f t="shared" si="27"/>
        <v>$59</v>
      </c>
      <c r="L18" t="str">
        <f t="shared" si="27"/>
        <v>$42</v>
      </c>
      <c r="M18" t="str">
        <f t="shared" si="27"/>
        <v>$CF</v>
      </c>
      <c r="N18" t="str">
        <f t="shared" si="27"/>
        <v>$2A</v>
      </c>
      <c r="O18" t="str">
        <f t="shared" si="27"/>
        <v>$19</v>
      </c>
      <c r="P18" t="str">
        <f t="shared" si="27"/>
        <v>$51</v>
      </c>
      <c r="Q18" t="str">
        <f t="shared" si="27"/>
        <v>$9A</v>
      </c>
      <c r="R18" t="str">
        <f t="shared" si="27"/>
        <v>$A9</v>
      </c>
    </row>
  </sheetData>
  <dataValidations count="1">
    <dataValidation type="whole" allowBlank="1" showInputMessage="1" showErrorMessage="1" sqref="C2:R3">
      <formula1>0</formula1>
      <formula2>255</formula2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4"/>
  <dimension ref="A1:T18"/>
  <sheetViews>
    <sheetView workbookViewId="0">
      <selection activeCell="B17" sqref="B17"/>
    </sheetView>
  </sheetViews>
  <sheetFormatPr baseColWidth="10" defaultRowHeight="15"/>
  <cols>
    <col min="1" max="1" width="20.5703125" customWidth="1"/>
    <col min="2" max="2" width="11.85546875" bestFit="1" customWidth="1"/>
    <col min="3" max="18" width="5.7109375" customWidth="1"/>
    <col min="19" max="19" width="9.7109375" customWidth="1"/>
  </cols>
  <sheetData>
    <row r="1" spans="1:20"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20">
      <c r="C2" s="1">
        <v>54</v>
      </c>
      <c r="D2" s="1">
        <v>23</v>
      </c>
      <c r="E2" s="1">
        <v>197</v>
      </c>
      <c r="F2" s="1">
        <v>242</v>
      </c>
      <c r="G2" s="1">
        <v>113</v>
      </c>
      <c r="H2" s="1">
        <v>112</v>
      </c>
      <c r="I2" s="1">
        <v>140</v>
      </c>
      <c r="J2" s="1">
        <v>81</v>
      </c>
      <c r="K2" s="1">
        <v>172</v>
      </c>
      <c r="L2" s="1">
        <v>91</v>
      </c>
      <c r="M2" s="1">
        <v>242</v>
      </c>
      <c r="N2" s="1">
        <v>44</v>
      </c>
      <c r="O2" s="1">
        <v>219</v>
      </c>
      <c r="P2" s="1">
        <v>189</v>
      </c>
      <c r="Q2" s="1">
        <v>193</v>
      </c>
      <c r="R2" s="1">
        <v>53</v>
      </c>
      <c r="T2">
        <f ca="1">+RANDBETWEEN(0,255)</f>
        <v>72</v>
      </c>
    </row>
    <row r="3" spans="1:20">
      <c r="C3" s="1">
        <v>0</v>
      </c>
      <c r="D3" s="1">
        <v>90</v>
      </c>
      <c r="E3" s="1">
        <v>74</v>
      </c>
      <c r="F3" s="1">
        <v>213</v>
      </c>
      <c r="G3" s="1">
        <v>145</v>
      </c>
      <c r="H3" s="1">
        <v>106</v>
      </c>
      <c r="I3" s="1">
        <v>48</v>
      </c>
      <c r="J3" s="1">
        <v>194</v>
      </c>
      <c r="K3" s="1">
        <v>225</v>
      </c>
      <c r="L3" s="1">
        <v>113</v>
      </c>
      <c r="M3" s="1">
        <v>207</v>
      </c>
      <c r="N3" s="1">
        <v>42</v>
      </c>
      <c r="O3" s="1">
        <v>25</v>
      </c>
      <c r="P3" s="1">
        <v>81</v>
      </c>
      <c r="Q3" s="1">
        <v>154</v>
      </c>
      <c r="R3" s="1">
        <v>169</v>
      </c>
    </row>
    <row r="4" spans="1:20">
      <c r="A4" s="2" t="s">
        <v>3</v>
      </c>
      <c r="B4" s="2">
        <f t="shared" ref="B4" si="0">+MOD(B2+B3+C5,256)</f>
        <v>0</v>
      </c>
      <c r="C4" s="2">
        <f t="shared" ref="C4:Q4" si="1">+MOD(C2-C3+D5,256)</f>
        <v>53</v>
      </c>
      <c r="D4" s="2">
        <f t="shared" si="1"/>
        <v>189</v>
      </c>
      <c r="E4" s="2">
        <f t="shared" si="1"/>
        <v>123</v>
      </c>
      <c r="F4" s="2">
        <f t="shared" si="1"/>
        <v>28</v>
      </c>
      <c r="G4" s="2">
        <f t="shared" si="1"/>
        <v>224</v>
      </c>
      <c r="H4" s="2">
        <f t="shared" si="1"/>
        <v>6</v>
      </c>
      <c r="I4" s="2">
        <f t="shared" si="1"/>
        <v>91</v>
      </c>
      <c r="J4" s="2">
        <f t="shared" si="1"/>
        <v>142</v>
      </c>
      <c r="K4" s="2">
        <f t="shared" si="1"/>
        <v>202</v>
      </c>
      <c r="L4" s="2">
        <f t="shared" si="1"/>
        <v>234</v>
      </c>
      <c r="M4" s="2">
        <f t="shared" si="1"/>
        <v>35</v>
      </c>
      <c r="N4" s="2">
        <f t="shared" si="1"/>
        <v>2</v>
      </c>
      <c r="O4" s="2">
        <f t="shared" si="1"/>
        <v>194</v>
      </c>
      <c r="P4" s="2">
        <f t="shared" si="1"/>
        <v>108</v>
      </c>
      <c r="Q4" s="2">
        <f t="shared" si="1"/>
        <v>38</v>
      </c>
      <c r="R4" s="2">
        <f>+MOD(R2-R3+S5,256)</f>
        <v>140</v>
      </c>
    </row>
    <row r="5" spans="1:20">
      <c r="A5" s="1" t="s">
        <v>2</v>
      </c>
      <c r="B5" s="1"/>
      <c r="C5" s="1">
        <f t="shared" ref="C5:Q5" si="2">+INT((C2-C3+D5)/256)</f>
        <v>0</v>
      </c>
      <c r="D5" s="1">
        <f t="shared" si="2"/>
        <v>-1</v>
      </c>
      <c r="E5" s="1">
        <f t="shared" si="2"/>
        <v>0</v>
      </c>
      <c r="F5" s="1">
        <f t="shared" si="2"/>
        <v>0</v>
      </c>
      <c r="G5" s="1">
        <f t="shared" si="2"/>
        <v>-1</v>
      </c>
      <c r="H5" s="1">
        <f t="shared" si="2"/>
        <v>0</v>
      </c>
      <c r="I5" s="1">
        <f t="shared" si="2"/>
        <v>0</v>
      </c>
      <c r="J5" s="1">
        <f t="shared" si="2"/>
        <v>-1</v>
      </c>
      <c r="K5" s="1">
        <f t="shared" si="2"/>
        <v>-1</v>
      </c>
      <c r="L5" s="1">
        <f t="shared" si="2"/>
        <v>-1</v>
      </c>
      <c r="M5" s="1">
        <f t="shared" si="2"/>
        <v>0</v>
      </c>
      <c r="N5" s="1">
        <f t="shared" si="2"/>
        <v>0</v>
      </c>
      <c r="O5" s="1">
        <f t="shared" si="2"/>
        <v>0</v>
      </c>
      <c r="P5" s="1">
        <f t="shared" si="2"/>
        <v>0</v>
      </c>
      <c r="Q5" s="1">
        <f t="shared" si="2"/>
        <v>0</v>
      </c>
      <c r="R5" s="1">
        <f>+INT((R2-R3+S5)/256)</f>
        <v>-1</v>
      </c>
    </row>
    <row r="9" spans="1:20">
      <c r="C9" s="3" t="s">
        <v>0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5"/>
    </row>
    <row r="10" spans="1:20">
      <c r="C10" s="1" t="str">
        <f t="shared" ref="C10:R11" si="3">+DEC2HEX(C2)</f>
        <v>36</v>
      </c>
      <c r="D10" s="1" t="str">
        <f t="shared" si="3"/>
        <v>17</v>
      </c>
      <c r="E10" s="1" t="str">
        <f t="shared" si="3"/>
        <v>C5</v>
      </c>
      <c r="F10" s="1" t="str">
        <f t="shared" si="3"/>
        <v>F2</v>
      </c>
      <c r="G10" s="1" t="str">
        <f t="shared" si="3"/>
        <v>71</v>
      </c>
      <c r="H10" s="1" t="str">
        <f t="shared" si="3"/>
        <v>70</v>
      </c>
      <c r="I10" s="1" t="str">
        <f t="shared" si="3"/>
        <v>8C</v>
      </c>
      <c r="J10" s="1" t="str">
        <f t="shared" si="3"/>
        <v>51</v>
      </c>
      <c r="K10" s="1" t="str">
        <f t="shared" si="3"/>
        <v>AC</v>
      </c>
      <c r="L10" s="1" t="str">
        <f t="shared" si="3"/>
        <v>5B</v>
      </c>
      <c r="M10" s="1" t="str">
        <f t="shared" si="3"/>
        <v>F2</v>
      </c>
      <c r="N10" s="1" t="str">
        <f t="shared" si="3"/>
        <v>2C</v>
      </c>
      <c r="O10" s="1" t="str">
        <f t="shared" si="3"/>
        <v>DB</v>
      </c>
      <c r="P10" s="1" t="str">
        <f t="shared" si="3"/>
        <v>BD</v>
      </c>
      <c r="Q10" s="1" t="str">
        <f t="shared" si="3"/>
        <v>C1</v>
      </c>
      <c r="R10" s="1" t="str">
        <f t="shared" si="3"/>
        <v>35</v>
      </c>
    </row>
    <row r="11" spans="1:20">
      <c r="C11" s="1" t="str">
        <f t="shared" si="3"/>
        <v>0</v>
      </c>
      <c r="D11" s="1" t="str">
        <f t="shared" si="3"/>
        <v>5A</v>
      </c>
      <c r="E11" s="1" t="str">
        <f t="shared" si="3"/>
        <v>4A</v>
      </c>
      <c r="F11" s="1" t="str">
        <f t="shared" si="3"/>
        <v>D5</v>
      </c>
      <c r="G11" s="1" t="str">
        <f t="shared" si="3"/>
        <v>91</v>
      </c>
      <c r="H11" s="1" t="str">
        <f t="shared" si="3"/>
        <v>6A</v>
      </c>
      <c r="I11" s="1" t="str">
        <f t="shared" si="3"/>
        <v>30</v>
      </c>
      <c r="J11" s="1" t="str">
        <f t="shared" si="3"/>
        <v>C2</v>
      </c>
      <c r="K11" s="1" t="str">
        <f t="shared" si="3"/>
        <v>E1</v>
      </c>
      <c r="L11" s="1" t="str">
        <f t="shared" si="3"/>
        <v>71</v>
      </c>
      <c r="M11" s="1" t="str">
        <f t="shared" si="3"/>
        <v>CF</v>
      </c>
      <c r="N11" s="1" t="str">
        <f t="shared" si="3"/>
        <v>2A</v>
      </c>
      <c r="O11" s="1" t="str">
        <f t="shared" si="3"/>
        <v>19</v>
      </c>
      <c r="P11" s="1" t="str">
        <f t="shared" si="3"/>
        <v>51</v>
      </c>
      <c r="Q11" s="1" t="str">
        <f t="shared" si="3"/>
        <v>9A</v>
      </c>
      <c r="R11" s="1" t="str">
        <f t="shared" si="3"/>
        <v>A9</v>
      </c>
    </row>
    <row r="12" spans="1:20">
      <c r="A12" s="2" t="s">
        <v>3</v>
      </c>
      <c r="B12" s="2" t="str">
        <f>TEXT(DEC2HEX(B4),"00")</f>
        <v>00</v>
      </c>
      <c r="C12" s="2" t="str">
        <f t="shared" ref="C12:R12" si="4">TEXT(DEC2HEX(C4),"00")</f>
        <v>35</v>
      </c>
      <c r="D12" s="2" t="str">
        <f t="shared" si="4"/>
        <v>BD</v>
      </c>
      <c r="E12" s="2" t="str">
        <f t="shared" si="4"/>
        <v>7B</v>
      </c>
      <c r="F12" s="2" t="str">
        <f t="shared" si="4"/>
        <v>1C</v>
      </c>
      <c r="G12" s="2" t="str">
        <f t="shared" si="4"/>
        <v>E0</v>
      </c>
      <c r="H12" s="2" t="str">
        <f t="shared" si="4"/>
        <v>06</v>
      </c>
      <c r="I12" s="2" t="str">
        <f t="shared" si="4"/>
        <v>5B</v>
      </c>
      <c r="J12" s="2" t="str">
        <f t="shared" si="4"/>
        <v>8E</v>
      </c>
      <c r="K12" s="2" t="str">
        <f t="shared" si="4"/>
        <v>CA</v>
      </c>
      <c r="L12" s="2" t="str">
        <f t="shared" si="4"/>
        <v>EA</v>
      </c>
      <c r="M12" s="2" t="str">
        <f t="shared" si="4"/>
        <v>23</v>
      </c>
      <c r="N12" s="2" t="str">
        <f t="shared" si="4"/>
        <v>02</v>
      </c>
      <c r="O12" s="2" t="str">
        <f t="shared" si="4"/>
        <v>C2</v>
      </c>
      <c r="P12" s="2" t="str">
        <f t="shared" si="4"/>
        <v>6C</v>
      </c>
      <c r="Q12" s="2" t="str">
        <f t="shared" si="4"/>
        <v>26</v>
      </c>
      <c r="R12" s="2" t="str">
        <f t="shared" si="4"/>
        <v>8C</v>
      </c>
    </row>
    <row r="13" spans="1:20">
      <c r="A13" s="1" t="s">
        <v>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5" spans="1:20">
      <c r="A15" t="s">
        <v>4</v>
      </c>
      <c r="C15">
        <f t="shared" ref="C15:P15" si="5">+D15+1</f>
        <v>16</v>
      </c>
      <c r="D15">
        <f t="shared" si="5"/>
        <v>15</v>
      </c>
      <c r="E15">
        <f t="shared" si="5"/>
        <v>14</v>
      </c>
      <c r="F15">
        <f t="shared" si="5"/>
        <v>13</v>
      </c>
      <c r="G15">
        <f t="shared" si="5"/>
        <v>12</v>
      </c>
      <c r="H15">
        <f t="shared" si="5"/>
        <v>11</v>
      </c>
      <c r="I15">
        <f t="shared" si="5"/>
        <v>10</v>
      </c>
      <c r="J15">
        <f t="shared" si="5"/>
        <v>9</v>
      </c>
      <c r="K15">
        <f t="shared" si="5"/>
        <v>8</v>
      </c>
      <c r="L15">
        <f t="shared" si="5"/>
        <v>7</v>
      </c>
      <c r="M15">
        <f t="shared" si="5"/>
        <v>6</v>
      </c>
      <c r="N15">
        <f t="shared" si="5"/>
        <v>5</v>
      </c>
      <c r="O15">
        <f t="shared" si="5"/>
        <v>4</v>
      </c>
      <c r="P15">
        <f t="shared" si="5"/>
        <v>3</v>
      </c>
      <c r="Q15">
        <f>+R15+1</f>
        <v>2</v>
      </c>
      <c r="R15">
        <v>1</v>
      </c>
    </row>
    <row r="17" spans="1:18">
      <c r="A17" t="s">
        <v>5</v>
      </c>
      <c r="B17" t="str">
        <f>+CONCATENARCELDAS(C17:R17)</f>
        <v>$36,$17,$C5,$F2,$71,$70,$8C,$51,$AC,$5B,$F2,$2C,$DB,$BD,$C1,$35</v>
      </c>
      <c r="C17" t="str">
        <f t="shared" ref="C17:R18" si="6">"$"&amp;TEXT(C10,"00")</f>
        <v>$36</v>
      </c>
      <c r="D17" t="str">
        <f t="shared" si="6"/>
        <v>$17</v>
      </c>
      <c r="E17" t="str">
        <f t="shared" si="6"/>
        <v>$C5</v>
      </c>
      <c r="F17" t="str">
        <f t="shared" si="6"/>
        <v>$F2</v>
      </c>
      <c r="G17" t="str">
        <f t="shared" si="6"/>
        <v>$71</v>
      </c>
      <c r="H17" t="str">
        <f t="shared" si="6"/>
        <v>$70</v>
      </c>
      <c r="I17" t="str">
        <f t="shared" si="6"/>
        <v>$8C</v>
      </c>
      <c r="J17" t="str">
        <f t="shared" si="6"/>
        <v>$51</v>
      </c>
      <c r="K17" t="str">
        <f t="shared" si="6"/>
        <v>$AC</v>
      </c>
      <c r="L17" t="str">
        <f t="shared" si="6"/>
        <v>$5B</v>
      </c>
      <c r="M17" t="str">
        <f t="shared" si="6"/>
        <v>$F2</v>
      </c>
      <c r="N17" t="str">
        <f t="shared" si="6"/>
        <v>$2C</v>
      </c>
      <c r="O17" t="str">
        <f t="shared" si="6"/>
        <v>$DB</v>
      </c>
      <c r="P17" t="str">
        <f t="shared" si="6"/>
        <v>$BD</v>
      </c>
      <c r="Q17" t="str">
        <f t="shared" si="6"/>
        <v>$C1</v>
      </c>
      <c r="R17" t="str">
        <f t="shared" si="6"/>
        <v>$35</v>
      </c>
    </row>
    <row r="18" spans="1:18">
      <c r="A18" t="s">
        <v>6</v>
      </c>
      <c r="B18" t="str">
        <f>+CONCATENARCELDAS(C18:R18)</f>
        <v>$00,$5A,$4A,$D5,$91,$6A,$30,$C2,$E1,$71,$CF,$2A,$19,$51,$9A,$A9</v>
      </c>
      <c r="C18" t="str">
        <f t="shared" si="6"/>
        <v>$00</v>
      </c>
      <c r="D18" t="str">
        <f t="shared" si="6"/>
        <v>$5A</v>
      </c>
      <c r="E18" t="str">
        <f t="shared" si="6"/>
        <v>$4A</v>
      </c>
      <c r="F18" t="str">
        <f t="shared" si="6"/>
        <v>$D5</v>
      </c>
      <c r="G18" t="str">
        <f t="shared" si="6"/>
        <v>$91</v>
      </c>
      <c r="H18" t="str">
        <f t="shared" si="6"/>
        <v>$6A</v>
      </c>
      <c r="I18" t="str">
        <f t="shared" si="6"/>
        <v>$30</v>
      </c>
      <c r="J18" t="str">
        <f t="shared" si="6"/>
        <v>$C2</v>
      </c>
      <c r="K18" t="str">
        <f t="shared" si="6"/>
        <v>$E1</v>
      </c>
      <c r="L18" t="str">
        <f t="shared" si="6"/>
        <v>$71</v>
      </c>
      <c r="M18" t="str">
        <f t="shared" si="6"/>
        <v>$CF</v>
      </c>
      <c r="N18" t="str">
        <f t="shared" si="6"/>
        <v>$2A</v>
      </c>
      <c r="O18" t="str">
        <f t="shared" si="6"/>
        <v>$19</v>
      </c>
      <c r="P18" t="str">
        <f t="shared" si="6"/>
        <v>$51</v>
      </c>
      <c r="Q18" t="str">
        <f t="shared" si="6"/>
        <v>$9A</v>
      </c>
      <c r="R18" t="str">
        <f t="shared" si="6"/>
        <v>$A9</v>
      </c>
    </row>
  </sheetData>
  <dataValidations count="1">
    <dataValidation type="whole" allowBlank="1" showInputMessage="1" showErrorMessage="1" sqref="C2:R3">
      <formula1>0</formula1>
      <formula2>255</formula2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2"/>
  <dimension ref="A1:C7"/>
  <sheetViews>
    <sheetView workbookViewId="0">
      <selection activeCell="C7" sqref="C7"/>
    </sheetView>
  </sheetViews>
  <sheetFormatPr baseColWidth="10" defaultRowHeight="15"/>
  <cols>
    <col min="1" max="1" width="27.28515625" customWidth="1"/>
    <col min="2" max="2" width="7.28515625" customWidth="1"/>
    <col min="3" max="3" width="27.28515625" customWidth="1"/>
  </cols>
  <sheetData>
    <row r="1" spans="1:3">
      <c r="A1" s="1" t="s">
        <v>1</v>
      </c>
      <c r="C1" s="1" t="s">
        <v>0</v>
      </c>
    </row>
    <row r="2" spans="1:3">
      <c r="A2" s="2">
        <v>12345</v>
      </c>
      <c r="C2" s="1" t="str">
        <f>TEXT(DEC2HEX(A2),"0000000000")</f>
        <v>0000003039</v>
      </c>
    </row>
    <row r="6" spans="1:3">
      <c r="A6" s="1" t="s">
        <v>0</v>
      </c>
      <c r="C6" s="1" t="s">
        <v>1</v>
      </c>
    </row>
    <row r="7" spans="1:3">
      <c r="A7" s="2" t="s">
        <v>7</v>
      </c>
      <c r="C7" s="1" t="str">
        <f>TEXT(HEX2DEC(A7),"0000000000")</f>
        <v>0000008005</v>
      </c>
    </row>
  </sheetData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A1:AH22"/>
  <sheetViews>
    <sheetView workbookViewId="0">
      <selection activeCell="B23" sqref="B23"/>
    </sheetView>
  </sheetViews>
  <sheetFormatPr baseColWidth="10" defaultRowHeight="15"/>
  <cols>
    <col min="1" max="1" width="8.85546875" bestFit="1" customWidth="1"/>
    <col min="2" max="17" width="3.85546875" customWidth="1"/>
    <col min="18" max="18" width="5.5703125" customWidth="1"/>
    <col min="19" max="34" width="6.42578125" customWidth="1"/>
  </cols>
  <sheetData>
    <row r="1" spans="1:34">
      <c r="A1" s="1" t="s">
        <v>10</v>
      </c>
      <c r="B1" s="12">
        <v>65535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3" spans="1:34">
      <c r="A3" s="1" t="s">
        <v>12</v>
      </c>
      <c r="B3" s="13">
        <v>0</v>
      </c>
      <c r="C3" s="13"/>
      <c r="D3" s="13"/>
      <c r="E3" s="13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spans="1:34">
      <c r="A4" s="1"/>
      <c r="B4" s="13">
        <f>2^16-1</f>
        <v>65535</v>
      </c>
      <c r="C4" s="13"/>
      <c r="D4" s="13"/>
      <c r="E4" s="13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6" spans="1:34">
      <c r="B6" s="8">
        <v>1</v>
      </c>
      <c r="C6" s="8">
        <f>+B6+1</f>
        <v>2</v>
      </c>
      <c r="D6" s="8">
        <f t="shared" ref="D6:Q6" si="0">+C6+1</f>
        <v>3</v>
      </c>
      <c r="E6" s="8">
        <f t="shared" si="0"/>
        <v>4</v>
      </c>
      <c r="F6" s="8">
        <f t="shared" si="0"/>
        <v>5</v>
      </c>
      <c r="G6" s="8">
        <f t="shared" si="0"/>
        <v>6</v>
      </c>
      <c r="H6" s="8">
        <f t="shared" si="0"/>
        <v>7</v>
      </c>
      <c r="I6" s="8">
        <f t="shared" si="0"/>
        <v>8</v>
      </c>
      <c r="J6" s="8">
        <f t="shared" si="0"/>
        <v>9</v>
      </c>
      <c r="K6" s="8">
        <f t="shared" si="0"/>
        <v>10</v>
      </c>
      <c r="L6" s="8">
        <f t="shared" si="0"/>
        <v>11</v>
      </c>
      <c r="M6" s="8">
        <f t="shared" si="0"/>
        <v>12</v>
      </c>
      <c r="N6" s="8">
        <f t="shared" si="0"/>
        <v>13</v>
      </c>
      <c r="O6" s="8">
        <f t="shared" si="0"/>
        <v>14</v>
      </c>
      <c r="P6" s="8">
        <f t="shared" si="0"/>
        <v>15</v>
      </c>
      <c r="Q6" s="8">
        <f t="shared" si="0"/>
        <v>16</v>
      </c>
      <c r="S6" s="8">
        <v>1</v>
      </c>
      <c r="T6" s="8">
        <f>+S6+1</f>
        <v>2</v>
      </c>
      <c r="U6" s="8">
        <f t="shared" ref="U6:AH6" si="1">+T6+1</f>
        <v>3</v>
      </c>
      <c r="V6" s="8">
        <f t="shared" si="1"/>
        <v>4</v>
      </c>
      <c r="W6" s="8">
        <f t="shared" si="1"/>
        <v>5</v>
      </c>
      <c r="X6" s="8">
        <f t="shared" si="1"/>
        <v>6</v>
      </c>
      <c r="Y6" s="8">
        <f t="shared" si="1"/>
        <v>7</v>
      </c>
      <c r="Z6" s="8">
        <f t="shared" si="1"/>
        <v>8</v>
      </c>
      <c r="AA6" s="8">
        <f t="shared" si="1"/>
        <v>9</v>
      </c>
      <c r="AB6" s="8">
        <f t="shared" si="1"/>
        <v>10</v>
      </c>
      <c r="AC6" s="8">
        <f t="shared" si="1"/>
        <v>11</v>
      </c>
      <c r="AD6" s="8">
        <f t="shared" si="1"/>
        <v>12</v>
      </c>
      <c r="AE6" s="8">
        <f t="shared" si="1"/>
        <v>13</v>
      </c>
      <c r="AF6" s="8">
        <f t="shared" si="1"/>
        <v>14</v>
      </c>
      <c r="AG6" s="8">
        <f t="shared" si="1"/>
        <v>15</v>
      </c>
      <c r="AH6" s="8">
        <f t="shared" si="1"/>
        <v>16</v>
      </c>
    </row>
    <row r="7" spans="1:34">
      <c r="A7" s="1" t="s">
        <v>8</v>
      </c>
      <c r="B7" s="11" t="s">
        <v>9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S7" s="11" t="s">
        <v>11</v>
      </c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</row>
    <row r="8" spans="1:34">
      <c r="A8" s="6">
        <v>2</v>
      </c>
      <c r="B8" s="1" t="str">
        <f t="shared" ref="B8:C16" si="2">TEXT(MOD(S8,$A8),"0")</f>
        <v>1</v>
      </c>
      <c r="C8" s="1" t="str">
        <f t="shared" si="2"/>
        <v>1</v>
      </c>
      <c r="D8" s="1" t="str">
        <f t="shared" ref="D8:D16" si="3">TEXT(MOD(U8,$A8),"0")</f>
        <v>1</v>
      </c>
      <c r="E8" s="1" t="str">
        <f t="shared" ref="E8:E16" si="4">TEXT(MOD(V8,$A8),"0")</f>
        <v>1</v>
      </c>
      <c r="F8" s="1" t="str">
        <f t="shared" ref="F8:F16" si="5">TEXT(MOD(W8,$A8),"0")</f>
        <v>1</v>
      </c>
      <c r="G8" s="1" t="str">
        <f t="shared" ref="G8:G16" si="6">TEXT(MOD(X8,$A8),"0")</f>
        <v>1</v>
      </c>
      <c r="H8" s="1" t="str">
        <f t="shared" ref="H8:H16" si="7">TEXT(MOD(Y8,$A8),"0")</f>
        <v>1</v>
      </c>
      <c r="I8" s="1" t="str">
        <f t="shared" ref="I8:I16" si="8">TEXT(MOD(Z8,$A8),"0")</f>
        <v>1</v>
      </c>
      <c r="J8" s="1" t="str">
        <f t="shared" ref="J8:J16" si="9">TEXT(MOD(AA8,$A8),"0")</f>
        <v>1</v>
      </c>
      <c r="K8" s="1" t="str">
        <f t="shared" ref="K8:K16" si="10">TEXT(MOD(AB8,$A8),"0")</f>
        <v>1</v>
      </c>
      <c r="L8" s="1" t="str">
        <f t="shared" ref="L8:L16" si="11">TEXT(MOD(AC8,$A8),"0")</f>
        <v>1</v>
      </c>
      <c r="M8" s="1" t="str">
        <f t="shared" ref="M8:M16" si="12">TEXT(MOD(AD8,$A8),"0")</f>
        <v>1</v>
      </c>
      <c r="N8" s="1" t="str">
        <f t="shared" ref="N8:N16" si="13">TEXT(MOD(AE8,$A8),"0")</f>
        <v>1</v>
      </c>
      <c r="O8" s="1" t="str">
        <f t="shared" ref="O8:O16" si="14">TEXT(MOD(AF8,$A8),"0")</f>
        <v>1</v>
      </c>
      <c r="P8" s="1" t="str">
        <f t="shared" ref="P8:P16" si="15">TEXT(MOD(AG8,$A8),"0")</f>
        <v>1</v>
      </c>
      <c r="Q8" s="1" t="str">
        <f t="shared" ref="Q8:Q15" si="16">TEXT(MOD(AH8,$A8),"0")</f>
        <v>1</v>
      </c>
      <c r="S8" s="1">
        <f t="shared" ref="S8:AF8" si="17">+INT(T8/$A8)</f>
        <v>1</v>
      </c>
      <c r="T8" s="1">
        <f t="shared" si="17"/>
        <v>3</v>
      </c>
      <c r="U8" s="1">
        <f t="shared" si="17"/>
        <v>7</v>
      </c>
      <c r="V8" s="1">
        <f t="shared" si="17"/>
        <v>15</v>
      </c>
      <c r="W8" s="1">
        <f t="shared" si="17"/>
        <v>31</v>
      </c>
      <c r="X8" s="1">
        <f t="shared" si="17"/>
        <v>63</v>
      </c>
      <c r="Y8" s="1">
        <f t="shared" si="17"/>
        <v>127</v>
      </c>
      <c r="Z8" s="1">
        <f t="shared" si="17"/>
        <v>255</v>
      </c>
      <c r="AA8" s="1">
        <f t="shared" si="17"/>
        <v>511</v>
      </c>
      <c r="AB8" s="1">
        <f t="shared" si="17"/>
        <v>1023</v>
      </c>
      <c r="AC8" s="1">
        <f t="shared" si="17"/>
        <v>2047</v>
      </c>
      <c r="AD8" s="1">
        <f t="shared" si="17"/>
        <v>4095</v>
      </c>
      <c r="AE8" s="1">
        <f t="shared" si="17"/>
        <v>8191</v>
      </c>
      <c r="AF8" s="1">
        <f t="shared" si="17"/>
        <v>16383</v>
      </c>
      <c r="AG8" s="1">
        <f>+INT(AH8/$A8)</f>
        <v>32767</v>
      </c>
      <c r="AH8" s="1">
        <f>+$B$1</f>
        <v>65535</v>
      </c>
    </row>
    <row r="9" spans="1:34">
      <c r="A9" s="1">
        <f>+A8+1</f>
        <v>3</v>
      </c>
      <c r="B9" s="1" t="str">
        <f t="shared" si="2"/>
        <v>0</v>
      </c>
      <c r="C9" s="1" t="str">
        <f t="shared" si="2"/>
        <v>0</v>
      </c>
      <c r="D9" s="1" t="str">
        <f t="shared" si="3"/>
        <v>0</v>
      </c>
      <c r="E9" s="1" t="str">
        <f t="shared" si="4"/>
        <v>0</v>
      </c>
      <c r="F9" s="1" t="str">
        <f t="shared" si="5"/>
        <v>0</v>
      </c>
      <c r="G9" s="1" t="str">
        <f t="shared" si="6"/>
        <v>1</v>
      </c>
      <c r="H9" s="1" t="str">
        <f t="shared" si="7"/>
        <v>0</v>
      </c>
      <c r="I9" s="1" t="str">
        <f t="shared" si="8"/>
        <v>0</v>
      </c>
      <c r="J9" s="1" t="str">
        <f t="shared" si="9"/>
        <v>2</v>
      </c>
      <c r="K9" s="1" t="str">
        <f t="shared" si="10"/>
        <v>2</v>
      </c>
      <c r="L9" s="1" t="str">
        <f t="shared" si="11"/>
        <v>2</v>
      </c>
      <c r="M9" s="1" t="str">
        <f t="shared" si="12"/>
        <v>2</v>
      </c>
      <c r="N9" s="1" t="str">
        <f t="shared" si="13"/>
        <v>0</v>
      </c>
      <c r="O9" s="1" t="str">
        <f t="shared" si="14"/>
        <v>0</v>
      </c>
      <c r="P9" s="1" t="str">
        <f t="shared" si="15"/>
        <v>2</v>
      </c>
      <c r="Q9" s="1" t="str">
        <f t="shared" si="16"/>
        <v>0</v>
      </c>
      <c r="S9" s="1">
        <f t="shared" ref="S9:AG9" si="18">+INT(T9/$A9)</f>
        <v>0</v>
      </c>
      <c r="T9" s="1">
        <f t="shared" si="18"/>
        <v>0</v>
      </c>
      <c r="U9" s="1">
        <f t="shared" si="18"/>
        <v>0</v>
      </c>
      <c r="V9" s="1">
        <f t="shared" si="18"/>
        <v>0</v>
      </c>
      <c r="W9" s="1">
        <f t="shared" si="18"/>
        <v>0</v>
      </c>
      <c r="X9" s="1">
        <f t="shared" si="18"/>
        <v>1</v>
      </c>
      <c r="Y9" s="1">
        <f t="shared" si="18"/>
        <v>3</v>
      </c>
      <c r="Z9" s="1">
        <f t="shared" si="18"/>
        <v>9</v>
      </c>
      <c r="AA9" s="1">
        <f t="shared" si="18"/>
        <v>29</v>
      </c>
      <c r="AB9" s="1">
        <f t="shared" si="18"/>
        <v>89</v>
      </c>
      <c r="AC9" s="1">
        <f t="shared" si="18"/>
        <v>269</v>
      </c>
      <c r="AD9" s="1">
        <f t="shared" si="18"/>
        <v>809</v>
      </c>
      <c r="AE9" s="1">
        <f t="shared" si="18"/>
        <v>2427</v>
      </c>
      <c r="AF9" s="1">
        <f t="shared" si="18"/>
        <v>7281</v>
      </c>
      <c r="AG9" s="1">
        <f t="shared" si="18"/>
        <v>21845</v>
      </c>
      <c r="AH9" s="1">
        <f t="shared" ref="AH9:AH22" si="19">+$B$1</f>
        <v>65535</v>
      </c>
    </row>
    <row r="10" spans="1:34">
      <c r="A10" s="1">
        <f t="shared" ref="A10:A22" si="20">+A9+1</f>
        <v>4</v>
      </c>
      <c r="B10" s="1" t="str">
        <f t="shared" si="2"/>
        <v>0</v>
      </c>
      <c r="C10" s="1" t="str">
        <f t="shared" si="2"/>
        <v>0</v>
      </c>
      <c r="D10" s="1" t="str">
        <f t="shared" si="3"/>
        <v>0</v>
      </c>
      <c r="E10" s="1" t="str">
        <f t="shared" si="4"/>
        <v>0</v>
      </c>
      <c r="F10" s="1" t="str">
        <f t="shared" si="5"/>
        <v>0</v>
      </c>
      <c r="G10" s="1" t="str">
        <f t="shared" si="6"/>
        <v>0</v>
      </c>
      <c r="H10" s="1" t="str">
        <f t="shared" si="7"/>
        <v>0</v>
      </c>
      <c r="I10" s="1" t="str">
        <f t="shared" si="8"/>
        <v>0</v>
      </c>
      <c r="J10" s="1" t="str">
        <f t="shared" si="9"/>
        <v>3</v>
      </c>
      <c r="K10" s="1" t="str">
        <f t="shared" si="10"/>
        <v>3</v>
      </c>
      <c r="L10" s="1" t="str">
        <f t="shared" si="11"/>
        <v>3</v>
      </c>
      <c r="M10" s="1" t="str">
        <f t="shared" si="12"/>
        <v>3</v>
      </c>
      <c r="N10" s="1" t="str">
        <f t="shared" si="13"/>
        <v>3</v>
      </c>
      <c r="O10" s="1" t="str">
        <f t="shared" si="14"/>
        <v>3</v>
      </c>
      <c r="P10" s="1" t="str">
        <f t="shared" si="15"/>
        <v>3</v>
      </c>
      <c r="Q10" s="1" t="str">
        <f t="shared" si="16"/>
        <v>3</v>
      </c>
      <c r="S10" s="1">
        <f t="shared" ref="S10:AG10" si="21">+INT(T10/$A10)</f>
        <v>0</v>
      </c>
      <c r="T10" s="1">
        <f t="shared" si="21"/>
        <v>0</v>
      </c>
      <c r="U10" s="1">
        <f t="shared" si="21"/>
        <v>0</v>
      </c>
      <c r="V10" s="1">
        <f t="shared" si="21"/>
        <v>0</v>
      </c>
      <c r="W10" s="1">
        <f t="shared" si="21"/>
        <v>0</v>
      </c>
      <c r="X10" s="1">
        <f t="shared" si="21"/>
        <v>0</v>
      </c>
      <c r="Y10" s="1">
        <f t="shared" si="21"/>
        <v>0</v>
      </c>
      <c r="Z10" s="1">
        <f t="shared" si="21"/>
        <v>0</v>
      </c>
      <c r="AA10" s="1">
        <f t="shared" si="21"/>
        <v>3</v>
      </c>
      <c r="AB10" s="1">
        <f t="shared" si="21"/>
        <v>15</v>
      </c>
      <c r="AC10" s="1">
        <f t="shared" si="21"/>
        <v>63</v>
      </c>
      <c r="AD10" s="1">
        <f t="shared" si="21"/>
        <v>255</v>
      </c>
      <c r="AE10" s="1">
        <f t="shared" si="21"/>
        <v>1023</v>
      </c>
      <c r="AF10" s="1">
        <f t="shared" si="21"/>
        <v>4095</v>
      </c>
      <c r="AG10" s="1">
        <f t="shared" si="21"/>
        <v>16383</v>
      </c>
      <c r="AH10" s="1">
        <f t="shared" si="19"/>
        <v>65535</v>
      </c>
    </row>
    <row r="11" spans="1:34">
      <c r="A11" s="1">
        <f t="shared" si="20"/>
        <v>5</v>
      </c>
      <c r="B11" s="1" t="str">
        <f t="shared" si="2"/>
        <v>0</v>
      </c>
      <c r="C11" s="1" t="str">
        <f t="shared" si="2"/>
        <v>0</v>
      </c>
      <c r="D11" s="1" t="str">
        <f t="shared" si="3"/>
        <v>0</v>
      </c>
      <c r="E11" s="1" t="str">
        <f t="shared" si="4"/>
        <v>0</v>
      </c>
      <c r="F11" s="1" t="str">
        <f t="shared" si="5"/>
        <v>0</v>
      </c>
      <c r="G11" s="1" t="str">
        <f t="shared" si="6"/>
        <v>0</v>
      </c>
      <c r="H11" s="1" t="str">
        <f t="shared" si="7"/>
        <v>0</v>
      </c>
      <c r="I11" s="1" t="str">
        <f t="shared" si="8"/>
        <v>0</v>
      </c>
      <c r="J11" s="1" t="str">
        <f t="shared" si="9"/>
        <v>0</v>
      </c>
      <c r="K11" s="1" t="str">
        <f t="shared" si="10"/>
        <v>4</v>
      </c>
      <c r="L11" s="1" t="str">
        <f t="shared" si="11"/>
        <v>0</v>
      </c>
      <c r="M11" s="1" t="str">
        <f t="shared" si="12"/>
        <v>4</v>
      </c>
      <c r="N11" s="1" t="str">
        <f t="shared" si="13"/>
        <v>4</v>
      </c>
      <c r="O11" s="1" t="str">
        <f t="shared" si="14"/>
        <v>1</v>
      </c>
      <c r="P11" s="1" t="str">
        <f t="shared" si="15"/>
        <v>2</v>
      </c>
      <c r="Q11" s="1" t="str">
        <f t="shared" si="16"/>
        <v>0</v>
      </c>
      <c r="S11" s="1">
        <f t="shared" ref="S11:AG11" si="22">+INT(T11/$A11)</f>
        <v>0</v>
      </c>
      <c r="T11" s="1">
        <f t="shared" si="22"/>
        <v>0</v>
      </c>
      <c r="U11" s="1">
        <f t="shared" si="22"/>
        <v>0</v>
      </c>
      <c r="V11" s="1">
        <f t="shared" si="22"/>
        <v>0</v>
      </c>
      <c r="W11" s="1">
        <f t="shared" si="22"/>
        <v>0</v>
      </c>
      <c r="X11" s="1">
        <f t="shared" si="22"/>
        <v>0</v>
      </c>
      <c r="Y11" s="1">
        <f t="shared" si="22"/>
        <v>0</v>
      </c>
      <c r="Z11" s="1">
        <f t="shared" si="22"/>
        <v>0</v>
      </c>
      <c r="AA11" s="1">
        <f t="shared" si="22"/>
        <v>0</v>
      </c>
      <c r="AB11" s="1">
        <f t="shared" si="22"/>
        <v>4</v>
      </c>
      <c r="AC11" s="1">
        <f t="shared" si="22"/>
        <v>20</v>
      </c>
      <c r="AD11" s="1">
        <f t="shared" si="22"/>
        <v>104</v>
      </c>
      <c r="AE11" s="1">
        <f t="shared" si="22"/>
        <v>524</v>
      </c>
      <c r="AF11" s="1">
        <f t="shared" si="22"/>
        <v>2621</v>
      </c>
      <c r="AG11" s="1">
        <f t="shared" si="22"/>
        <v>13107</v>
      </c>
      <c r="AH11" s="1">
        <f t="shared" si="19"/>
        <v>65535</v>
      </c>
    </row>
    <row r="12" spans="1:34">
      <c r="A12" s="1">
        <f t="shared" si="20"/>
        <v>6</v>
      </c>
      <c r="B12" s="1" t="str">
        <f t="shared" si="2"/>
        <v>0</v>
      </c>
      <c r="C12" s="1" t="str">
        <f t="shared" si="2"/>
        <v>0</v>
      </c>
      <c r="D12" s="1" t="str">
        <f t="shared" si="3"/>
        <v>0</v>
      </c>
      <c r="E12" s="1" t="str">
        <f t="shared" si="4"/>
        <v>0</v>
      </c>
      <c r="F12" s="1" t="str">
        <f t="shared" si="5"/>
        <v>0</v>
      </c>
      <c r="G12" s="1" t="str">
        <f t="shared" si="6"/>
        <v>0</v>
      </c>
      <c r="H12" s="1" t="str">
        <f t="shared" si="7"/>
        <v>0</v>
      </c>
      <c r="I12" s="1" t="str">
        <f t="shared" si="8"/>
        <v>0</v>
      </c>
      <c r="J12" s="1" t="str">
        <f t="shared" si="9"/>
        <v>0</v>
      </c>
      <c r="K12" s="1" t="str">
        <f t="shared" si="10"/>
        <v>1</v>
      </c>
      <c r="L12" s="1" t="str">
        <f t="shared" si="11"/>
        <v>2</v>
      </c>
      <c r="M12" s="1" t="str">
        <f t="shared" si="12"/>
        <v>2</v>
      </c>
      <c r="N12" s="1" t="str">
        <f t="shared" si="13"/>
        <v>3</v>
      </c>
      <c r="O12" s="1" t="str">
        <f t="shared" si="14"/>
        <v>2</v>
      </c>
      <c r="P12" s="1" t="str">
        <f t="shared" si="15"/>
        <v>2</v>
      </c>
      <c r="Q12" s="1" t="str">
        <f t="shared" si="16"/>
        <v>3</v>
      </c>
      <c r="S12" s="1">
        <f t="shared" ref="S12:AG12" si="23">+INT(T12/$A12)</f>
        <v>0</v>
      </c>
      <c r="T12" s="1">
        <f t="shared" si="23"/>
        <v>0</v>
      </c>
      <c r="U12" s="1">
        <f t="shared" si="23"/>
        <v>0</v>
      </c>
      <c r="V12" s="1">
        <f t="shared" si="23"/>
        <v>0</v>
      </c>
      <c r="W12" s="1">
        <f t="shared" si="23"/>
        <v>0</v>
      </c>
      <c r="X12" s="1">
        <f t="shared" si="23"/>
        <v>0</v>
      </c>
      <c r="Y12" s="1">
        <f t="shared" si="23"/>
        <v>0</v>
      </c>
      <c r="Z12" s="1">
        <f t="shared" si="23"/>
        <v>0</v>
      </c>
      <c r="AA12" s="1">
        <f t="shared" si="23"/>
        <v>0</v>
      </c>
      <c r="AB12" s="1">
        <f t="shared" si="23"/>
        <v>1</v>
      </c>
      <c r="AC12" s="1">
        <f t="shared" si="23"/>
        <v>8</v>
      </c>
      <c r="AD12" s="1">
        <f t="shared" si="23"/>
        <v>50</v>
      </c>
      <c r="AE12" s="1">
        <f t="shared" si="23"/>
        <v>303</v>
      </c>
      <c r="AF12" s="1">
        <f t="shared" si="23"/>
        <v>1820</v>
      </c>
      <c r="AG12" s="1">
        <f t="shared" si="23"/>
        <v>10922</v>
      </c>
      <c r="AH12" s="1">
        <f t="shared" si="19"/>
        <v>65535</v>
      </c>
    </row>
    <row r="13" spans="1:34">
      <c r="A13" s="1">
        <f t="shared" si="20"/>
        <v>7</v>
      </c>
      <c r="B13" s="1" t="str">
        <f t="shared" si="2"/>
        <v>0</v>
      </c>
      <c r="C13" s="1" t="str">
        <f t="shared" si="2"/>
        <v>0</v>
      </c>
      <c r="D13" s="1" t="str">
        <f t="shared" si="3"/>
        <v>0</v>
      </c>
      <c r="E13" s="1" t="str">
        <f t="shared" si="4"/>
        <v>0</v>
      </c>
      <c r="F13" s="1" t="str">
        <f t="shared" si="5"/>
        <v>0</v>
      </c>
      <c r="G13" s="1" t="str">
        <f t="shared" si="6"/>
        <v>0</v>
      </c>
      <c r="H13" s="1" t="str">
        <f t="shared" si="7"/>
        <v>0</v>
      </c>
      <c r="I13" s="1" t="str">
        <f t="shared" si="8"/>
        <v>0</v>
      </c>
      <c r="J13" s="1" t="str">
        <f t="shared" si="9"/>
        <v>0</v>
      </c>
      <c r="K13" s="1" t="str">
        <f t="shared" si="10"/>
        <v>0</v>
      </c>
      <c r="L13" s="1" t="str">
        <f t="shared" si="11"/>
        <v>3</v>
      </c>
      <c r="M13" s="1" t="str">
        <f t="shared" si="12"/>
        <v>6</v>
      </c>
      <c r="N13" s="1" t="str">
        <f t="shared" si="13"/>
        <v>2</v>
      </c>
      <c r="O13" s="1" t="str">
        <f t="shared" si="14"/>
        <v>0</v>
      </c>
      <c r="P13" s="1" t="str">
        <f t="shared" si="15"/>
        <v>3</v>
      </c>
      <c r="Q13" s="1" t="str">
        <f t="shared" si="16"/>
        <v>1</v>
      </c>
      <c r="S13" s="1">
        <f t="shared" ref="S13:AG13" si="24">+INT(T13/$A13)</f>
        <v>0</v>
      </c>
      <c r="T13" s="1">
        <f t="shared" si="24"/>
        <v>0</v>
      </c>
      <c r="U13" s="1">
        <f t="shared" si="24"/>
        <v>0</v>
      </c>
      <c r="V13" s="1">
        <f t="shared" si="24"/>
        <v>0</v>
      </c>
      <c r="W13" s="1">
        <f t="shared" si="24"/>
        <v>0</v>
      </c>
      <c r="X13" s="1">
        <f t="shared" si="24"/>
        <v>0</v>
      </c>
      <c r="Y13" s="1">
        <f t="shared" si="24"/>
        <v>0</v>
      </c>
      <c r="Z13" s="1">
        <f t="shared" si="24"/>
        <v>0</v>
      </c>
      <c r="AA13" s="1">
        <f t="shared" si="24"/>
        <v>0</v>
      </c>
      <c r="AB13" s="1">
        <f t="shared" si="24"/>
        <v>0</v>
      </c>
      <c r="AC13" s="1">
        <f t="shared" si="24"/>
        <v>3</v>
      </c>
      <c r="AD13" s="1">
        <f t="shared" si="24"/>
        <v>27</v>
      </c>
      <c r="AE13" s="1">
        <f t="shared" si="24"/>
        <v>191</v>
      </c>
      <c r="AF13" s="1">
        <f t="shared" si="24"/>
        <v>1337</v>
      </c>
      <c r="AG13" s="1">
        <f t="shared" si="24"/>
        <v>9362</v>
      </c>
      <c r="AH13" s="1">
        <f t="shared" si="19"/>
        <v>65535</v>
      </c>
    </row>
    <row r="14" spans="1:34">
      <c r="A14" s="1">
        <f t="shared" si="20"/>
        <v>8</v>
      </c>
      <c r="B14" s="1" t="str">
        <f t="shared" si="2"/>
        <v>0</v>
      </c>
      <c r="C14" s="1" t="str">
        <f t="shared" si="2"/>
        <v>0</v>
      </c>
      <c r="D14" s="1" t="str">
        <f t="shared" si="3"/>
        <v>0</v>
      </c>
      <c r="E14" s="1" t="str">
        <f t="shared" si="4"/>
        <v>0</v>
      </c>
      <c r="F14" s="1" t="str">
        <f t="shared" si="5"/>
        <v>0</v>
      </c>
      <c r="G14" s="1" t="str">
        <f t="shared" si="6"/>
        <v>0</v>
      </c>
      <c r="H14" s="1" t="str">
        <f t="shared" si="7"/>
        <v>0</v>
      </c>
      <c r="I14" s="1" t="str">
        <f t="shared" si="8"/>
        <v>0</v>
      </c>
      <c r="J14" s="1" t="str">
        <f t="shared" si="9"/>
        <v>0</v>
      </c>
      <c r="K14" s="1" t="str">
        <f t="shared" si="10"/>
        <v>0</v>
      </c>
      <c r="L14" s="1" t="str">
        <f t="shared" si="11"/>
        <v>1</v>
      </c>
      <c r="M14" s="1" t="str">
        <f t="shared" si="12"/>
        <v>7</v>
      </c>
      <c r="N14" s="1" t="str">
        <f t="shared" si="13"/>
        <v>7</v>
      </c>
      <c r="O14" s="1" t="str">
        <f t="shared" si="14"/>
        <v>7</v>
      </c>
      <c r="P14" s="1" t="str">
        <f t="shared" si="15"/>
        <v>7</v>
      </c>
      <c r="Q14" s="1" t="str">
        <f t="shared" si="16"/>
        <v>7</v>
      </c>
      <c r="S14" s="1">
        <f t="shared" ref="S14:AG14" si="25">+INT(T14/$A14)</f>
        <v>0</v>
      </c>
      <c r="T14" s="1">
        <f t="shared" si="25"/>
        <v>0</v>
      </c>
      <c r="U14" s="1">
        <f t="shared" si="25"/>
        <v>0</v>
      </c>
      <c r="V14" s="1">
        <f t="shared" si="25"/>
        <v>0</v>
      </c>
      <c r="W14" s="1">
        <f t="shared" si="25"/>
        <v>0</v>
      </c>
      <c r="X14" s="1">
        <f t="shared" si="25"/>
        <v>0</v>
      </c>
      <c r="Y14" s="1">
        <f t="shared" si="25"/>
        <v>0</v>
      </c>
      <c r="Z14" s="1">
        <f t="shared" si="25"/>
        <v>0</v>
      </c>
      <c r="AA14" s="1">
        <f t="shared" si="25"/>
        <v>0</v>
      </c>
      <c r="AB14" s="1">
        <f t="shared" si="25"/>
        <v>0</v>
      </c>
      <c r="AC14" s="1">
        <f t="shared" si="25"/>
        <v>1</v>
      </c>
      <c r="AD14" s="1">
        <f t="shared" si="25"/>
        <v>15</v>
      </c>
      <c r="AE14" s="1">
        <f t="shared" si="25"/>
        <v>127</v>
      </c>
      <c r="AF14" s="1">
        <f t="shared" si="25"/>
        <v>1023</v>
      </c>
      <c r="AG14" s="1">
        <f t="shared" si="25"/>
        <v>8191</v>
      </c>
      <c r="AH14" s="1">
        <f t="shared" si="19"/>
        <v>65535</v>
      </c>
    </row>
    <row r="15" spans="1:34">
      <c r="A15" s="1">
        <f t="shared" si="20"/>
        <v>9</v>
      </c>
      <c r="B15" s="1" t="str">
        <f t="shared" si="2"/>
        <v>0</v>
      </c>
      <c r="C15" s="1" t="str">
        <f t="shared" si="2"/>
        <v>0</v>
      </c>
      <c r="D15" s="1" t="str">
        <f t="shared" si="3"/>
        <v>0</v>
      </c>
      <c r="E15" s="1" t="str">
        <f t="shared" si="4"/>
        <v>0</v>
      </c>
      <c r="F15" s="1" t="str">
        <f t="shared" si="5"/>
        <v>0</v>
      </c>
      <c r="G15" s="1" t="str">
        <f t="shared" si="6"/>
        <v>0</v>
      </c>
      <c r="H15" s="1" t="str">
        <f t="shared" si="7"/>
        <v>0</v>
      </c>
      <c r="I15" s="1" t="str">
        <f t="shared" si="8"/>
        <v>0</v>
      </c>
      <c r="J15" s="1" t="str">
        <f t="shared" si="9"/>
        <v>0</v>
      </c>
      <c r="K15" s="1" t="str">
        <f t="shared" si="10"/>
        <v>0</v>
      </c>
      <c r="L15" s="1" t="str">
        <f t="shared" si="11"/>
        <v>1</v>
      </c>
      <c r="M15" s="1" t="str">
        <f t="shared" si="12"/>
        <v>0</v>
      </c>
      <c r="N15" s="1" t="str">
        <f t="shared" si="13"/>
        <v>8</v>
      </c>
      <c r="O15" s="1" t="str">
        <f t="shared" si="14"/>
        <v>8</v>
      </c>
      <c r="P15" s="1" t="str">
        <f t="shared" si="15"/>
        <v>0</v>
      </c>
      <c r="Q15" s="1" t="str">
        <f t="shared" si="16"/>
        <v>6</v>
      </c>
      <c r="S15" s="1">
        <f t="shared" ref="S15:AG15" si="26">+INT(T15/$A15)</f>
        <v>0</v>
      </c>
      <c r="T15" s="1">
        <f t="shared" si="26"/>
        <v>0</v>
      </c>
      <c r="U15" s="1">
        <f t="shared" si="26"/>
        <v>0</v>
      </c>
      <c r="V15" s="1">
        <f t="shared" si="26"/>
        <v>0</v>
      </c>
      <c r="W15" s="1">
        <f t="shared" si="26"/>
        <v>0</v>
      </c>
      <c r="X15" s="1">
        <f t="shared" si="26"/>
        <v>0</v>
      </c>
      <c r="Y15" s="1">
        <f t="shared" si="26"/>
        <v>0</v>
      </c>
      <c r="Z15" s="1">
        <f t="shared" si="26"/>
        <v>0</v>
      </c>
      <c r="AA15" s="1">
        <f t="shared" si="26"/>
        <v>0</v>
      </c>
      <c r="AB15" s="1">
        <f t="shared" si="26"/>
        <v>0</v>
      </c>
      <c r="AC15" s="1">
        <f t="shared" si="26"/>
        <v>1</v>
      </c>
      <c r="AD15" s="1">
        <f t="shared" si="26"/>
        <v>9</v>
      </c>
      <c r="AE15" s="1">
        <f t="shared" si="26"/>
        <v>89</v>
      </c>
      <c r="AF15" s="1">
        <f t="shared" si="26"/>
        <v>809</v>
      </c>
      <c r="AG15" s="1">
        <f t="shared" si="26"/>
        <v>7281</v>
      </c>
      <c r="AH15" s="1">
        <f t="shared" si="19"/>
        <v>65535</v>
      </c>
    </row>
    <row r="16" spans="1:34">
      <c r="A16" s="1">
        <f t="shared" si="20"/>
        <v>10</v>
      </c>
      <c r="B16" s="1" t="str">
        <f t="shared" si="2"/>
        <v>0</v>
      </c>
      <c r="C16" s="1" t="str">
        <f t="shared" si="2"/>
        <v>0</v>
      </c>
      <c r="D16" s="1" t="str">
        <f t="shared" si="3"/>
        <v>0</v>
      </c>
      <c r="E16" s="1" t="str">
        <f t="shared" si="4"/>
        <v>0</v>
      </c>
      <c r="F16" s="1" t="str">
        <f t="shared" si="5"/>
        <v>0</v>
      </c>
      <c r="G16" s="1" t="str">
        <f t="shared" si="6"/>
        <v>0</v>
      </c>
      <c r="H16" s="1" t="str">
        <f t="shared" si="7"/>
        <v>0</v>
      </c>
      <c r="I16" s="1" t="str">
        <f t="shared" si="8"/>
        <v>0</v>
      </c>
      <c r="J16" s="1" t="str">
        <f t="shared" si="9"/>
        <v>0</v>
      </c>
      <c r="K16" s="1" t="str">
        <f t="shared" si="10"/>
        <v>0</v>
      </c>
      <c r="L16" s="1" t="str">
        <f t="shared" si="11"/>
        <v>0</v>
      </c>
      <c r="M16" s="1" t="str">
        <f t="shared" si="12"/>
        <v>6</v>
      </c>
      <c r="N16" s="1" t="str">
        <f t="shared" si="13"/>
        <v>5</v>
      </c>
      <c r="O16" s="1" t="str">
        <f t="shared" si="14"/>
        <v>5</v>
      </c>
      <c r="P16" s="1" t="str">
        <f t="shared" si="15"/>
        <v>3</v>
      </c>
      <c r="Q16" s="1" t="str">
        <f>TEXT(MOD(AH16,$A16),"0")</f>
        <v>5</v>
      </c>
      <c r="S16" s="1">
        <f t="shared" ref="S16:AG16" si="27">+INT(T16/$A16)</f>
        <v>0</v>
      </c>
      <c r="T16" s="1">
        <f t="shared" si="27"/>
        <v>0</v>
      </c>
      <c r="U16" s="1">
        <f t="shared" si="27"/>
        <v>0</v>
      </c>
      <c r="V16" s="1">
        <f t="shared" si="27"/>
        <v>0</v>
      </c>
      <c r="W16" s="1">
        <f t="shared" si="27"/>
        <v>0</v>
      </c>
      <c r="X16" s="1">
        <f t="shared" si="27"/>
        <v>0</v>
      </c>
      <c r="Y16" s="1">
        <f t="shared" si="27"/>
        <v>0</v>
      </c>
      <c r="Z16" s="1">
        <f t="shared" si="27"/>
        <v>0</v>
      </c>
      <c r="AA16" s="1">
        <f t="shared" si="27"/>
        <v>0</v>
      </c>
      <c r="AB16" s="1">
        <f t="shared" si="27"/>
        <v>0</v>
      </c>
      <c r="AC16" s="1">
        <f t="shared" si="27"/>
        <v>0</v>
      </c>
      <c r="AD16" s="1">
        <f t="shared" si="27"/>
        <v>6</v>
      </c>
      <c r="AE16" s="1">
        <f t="shared" si="27"/>
        <v>65</v>
      </c>
      <c r="AF16" s="1">
        <f t="shared" si="27"/>
        <v>655</v>
      </c>
      <c r="AG16" s="1">
        <f t="shared" si="27"/>
        <v>6553</v>
      </c>
      <c r="AH16" s="1">
        <f t="shared" si="19"/>
        <v>65535</v>
      </c>
    </row>
    <row r="17" spans="1:34">
      <c r="A17" s="1">
        <f t="shared" si="20"/>
        <v>11</v>
      </c>
      <c r="B17" s="1" t="str">
        <f t="shared" ref="B17:C22" si="28">TEXT(DEC2HEX(MOD(S17,$A17)),"0")</f>
        <v>0</v>
      </c>
      <c r="C17" s="1" t="str">
        <f t="shared" si="28"/>
        <v>0</v>
      </c>
      <c r="D17" s="1" t="str">
        <f t="shared" ref="D17:D22" si="29">TEXT(DEC2HEX(MOD(U17,$A17)),"0")</f>
        <v>0</v>
      </c>
      <c r="E17" s="1" t="str">
        <f t="shared" ref="E17:E22" si="30">TEXT(DEC2HEX(MOD(V17,$A17)),"0")</f>
        <v>0</v>
      </c>
      <c r="F17" s="1" t="str">
        <f t="shared" ref="F17:F22" si="31">TEXT(DEC2HEX(MOD(W17,$A17)),"0")</f>
        <v>0</v>
      </c>
      <c r="G17" s="1" t="str">
        <f t="shared" ref="G17:G22" si="32">TEXT(DEC2HEX(MOD(X17,$A17)),"0")</f>
        <v>0</v>
      </c>
      <c r="H17" s="1" t="str">
        <f t="shared" ref="H17:H22" si="33">TEXT(DEC2HEX(MOD(Y17,$A17)),"0")</f>
        <v>0</v>
      </c>
      <c r="I17" s="1" t="str">
        <f t="shared" ref="I17:I22" si="34">TEXT(DEC2HEX(MOD(Z17,$A17)),"0")</f>
        <v>0</v>
      </c>
      <c r="J17" s="1" t="str">
        <f t="shared" ref="J17:J22" si="35">TEXT(DEC2HEX(MOD(AA17,$A17)),"0")</f>
        <v>0</v>
      </c>
      <c r="K17" s="1" t="str">
        <f t="shared" ref="K17:K22" si="36">TEXT(DEC2HEX(MOD(AB17,$A17)),"0")</f>
        <v>0</v>
      </c>
      <c r="L17" s="1" t="str">
        <f t="shared" ref="L17:L22" si="37">TEXT(DEC2HEX(MOD(AC17,$A17)),"0")</f>
        <v>0</v>
      </c>
      <c r="M17" s="1" t="str">
        <f t="shared" ref="M17:M22" si="38">TEXT(DEC2HEX(MOD(AD17,$A17)),"0")</f>
        <v>4</v>
      </c>
      <c r="N17" s="1" t="str">
        <f t="shared" ref="N17:N22" si="39">TEXT(DEC2HEX(MOD(AE17,$A17)),"0")</f>
        <v>5</v>
      </c>
      <c r="O17" s="1" t="str">
        <f t="shared" ref="O17:O22" si="40">TEXT(DEC2HEX(MOD(AF17,$A17)),"0")</f>
        <v>2</v>
      </c>
      <c r="P17" s="1" t="str">
        <f t="shared" ref="P17:P22" si="41">TEXT(DEC2HEX(MOD(AG17,$A17)),"0")</f>
        <v>6</v>
      </c>
      <c r="Q17" s="1" t="str">
        <f t="shared" ref="Q17:Q19" si="42">TEXT(DEC2HEX(MOD(AH17,$A17)),"0")</f>
        <v>8</v>
      </c>
      <c r="S17" s="1">
        <f t="shared" ref="S17:AG17" si="43">+INT(T17/$A17)</f>
        <v>0</v>
      </c>
      <c r="T17" s="1">
        <f t="shared" si="43"/>
        <v>0</v>
      </c>
      <c r="U17" s="1">
        <f t="shared" si="43"/>
        <v>0</v>
      </c>
      <c r="V17" s="1">
        <f t="shared" si="43"/>
        <v>0</v>
      </c>
      <c r="W17" s="1">
        <f t="shared" si="43"/>
        <v>0</v>
      </c>
      <c r="X17" s="1">
        <f t="shared" si="43"/>
        <v>0</v>
      </c>
      <c r="Y17" s="1">
        <f t="shared" si="43"/>
        <v>0</v>
      </c>
      <c r="Z17" s="1">
        <f t="shared" si="43"/>
        <v>0</v>
      </c>
      <c r="AA17" s="1">
        <f t="shared" si="43"/>
        <v>0</v>
      </c>
      <c r="AB17" s="1">
        <f t="shared" si="43"/>
        <v>0</v>
      </c>
      <c r="AC17" s="1">
        <f t="shared" si="43"/>
        <v>0</v>
      </c>
      <c r="AD17" s="1">
        <f t="shared" si="43"/>
        <v>4</v>
      </c>
      <c r="AE17" s="1">
        <f t="shared" si="43"/>
        <v>49</v>
      </c>
      <c r="AF17" s="1">
        <f t="shared" si="43"/>
        <v>541</v>
      </c>
      <c r="AG17" s="1">
        <f t="shared" si="43"/>
        <v>5957</v>
      </c>
      <c r="AH17" s="1">
        <f t="shared" si="19"/>
        <v>65535</v>
      </c>
    </row>
    <row r="18" spans="1:34">
      <c r="A18" s="1">
        <f t="shared" si="20"/>
        <v>12</v>
      </c>
      <c r="B18" s="1" t="str">
        <f t="shared" si="28"/>
        <v>0</v>
      </c>
      <c r="C18" s="1" t="str">
        <f t="shared" si="28"/>
        <v>0</v>
      </c>
      <c r="D18" s="1" t="str">
        <f t="shared" si="29"/>
        <v>0</v>
      </c>
      <c r="E18" s="1" t="str">
        <f t="shared" si="30"/>
        <v>0</v>
      </c>
      <c r="F18" s="1" t="str">
        <f t="shared" si="31"/>
        <v>0</v>
      </c>
      <c r="G18" s="1" t="str">
        <f t="shared" si="32"/>
        <v>0</v>
      </c>
      <c r="H18" s="1" t="str">
        <f t="shared" si="33"/>
        <v>0</v>
      </c>
      <c r="I18" s="1" t="str">
        <f t="shared" si="34"/>
        <v>0</v>
      </c>
      <c r="J18" s="1" t="str">
        <f t="shared" si="35"/>
        <v>0</v>
      </c>
      <c r="K18" s="1" t="str">
        <f t="shared" si="36"/>
        <v>0</v>
      </c>
      <c r="L18" s="1" t="str">
        <f t="shared" si="37"/>
        <v>0</v>
      </c>
      <c r="M18" s="1" t="str">
        <f t="shared" si="38"/>
        <v>3</v>
      </c>
      <c r="N18" s="1" t="str">
        <f t="shared" si="39"/>
        <v>1</v>
      </c>
      <c r="O18" s="1" t="str">
        <f t="shared" si="40"/>
        <v>B</v>
      </c>
      <c r="P18" s="1" t="str">
        <f t="shared" si="41"/>
        <v>1</v>
      </c>
      <c r="Q18" s="1" t="str">
        <f t="shared" si="42"/>
        <v>3</v>
      </c>
      <c r="S18" s="1">
        <f t="shared" ref="S18:AG18" si="44">+INT(T18/$A18)</f>
        <v>0</v>
      </c>
      <c r="T18" s="1">
        <f t="shared" si="44"/>
        <v>0</v>
      </c>
      <c r="U18" s="1">
        <f t="shared" si="44"/>
        <v>0</v>
      </c>
      <c r="V18" s="1">
        <f t="shared" si="44"/>
        <v>0</v>
      </c>
      <c r="W18" s="1">
        <f t="shared" si="44"/>
        <v>0</v>
      </c>
      <c r="X18" s="1">
        <f t="shared" si="44"/>
        <v>0</v>
      </c>
      <c r="Y18" s="1">
        <f t="shared" si="44"/>
        <v>0</v>
      </c>
      <c r="Z18" s="1">
        <f t="shared" si="44"/>
        <v>0</v>
      </c>
      <c r="AA18" s="1">
        <f t="shared" si="44"/>
        <v>0</v>
      </c>
      <c r="AB18" s="1">
        <f t="shared" si="44"/>
        <v>0</v>
      </c>
      <c r="AC18" s="1">
        <f t="shared" si="44"/>
        <v>0</v>
      </c>
      <c r="AD18" s="1">
        <f t="shared" si="44"/>
        <v>3</v>
      </c>
      <c r="AE18" s="1">
        <f t="shared" si="44"/>
        <v>37</v>
      </c>
      <c r="AF18" s="1">
        <f t="shared" si="44"/>
        <v>455</v>
      </c>
      <c r="AG18" s="1">
        <f t="shared" si="44"/>
        <v>5461</v>
      </c>
      <c r="AH18" s="1">
        <f t="shared" si="19"/>
        <v>65535</v>
      </c>
    </row>
    <row r="19" spans="1:34">
      <c r="A19" s="1">
        <f t="shared" si="20"/>
        <v>13</v>
      </c>
      <c r="B19" s="1" t="str">
        <f t="shared" si="28"/>
        <v>0</v>
      </c>
      <c r="C19" s="1" t="str">
        <f t="shared" si="28"/>
        <v>0</v>
      </c>
      <c r="D19" s="1" t="str">
        <f t="shared" si="29"/>
        <v>0</v>
      </c>
      <c r="E19" s="1" t="str">
        <f t="shared" si="30"/>
        <v>0</v>
      </c>
      <c r="F19" s="1" t="str">
        <f t="shared" si="31"/>
        <v>0</v>
      </c>
      <c r="G19" s="1" t="str">
        <f t="shared" si="32"/>
        <v>0</v>
      </c>
      <c r="H19" s="1" t="str">
        <f t="shared" si="33"/>
        <v>0</v>
      </c>
      <c r="I19" s="1" t="str">
        <f t="shared" si="34"/>
        <v>0</v>
      </c>
      <c r="J19" s="1" t="str">
        <f t="shared" si="35"/>
        <v>0</v>
      </c>
      <c r="K19" s="1" t="str">
        <f t="shared" si="36"/>
        <v>0</v>
      </c>
      <c r="L19" s="1" t="str">
        <f t="shared" si="37"/>
        <v>0</v>
      </c>
      <c r="M19" s="1" t="str">
        <f t="shared" si="38"/>
        <v>2</v>
      </c>
      <c r="N19" s="1" t="str">
        <f t="shared" si="39"/>
        <v>3</v>
      </c>
      <c r="O19" s="1" t="str">
        <f t="shared" si="40"/>
        <v>A</v>
      </c>
      <c r="P19" s="1" t="str">
        <f t="shared" si="41"/>
        <v>A</v>
      </c>
      <c r="Q19" s="1" t="str">
        <f t="shared" si="42"/>
        <v>2</v>
      </c>
      <c r="S19" s="1">
        <f t="shared" ref="S19:AG19" si="45">+INT(T19/$A19)</f>
        <v>0</v>
      </c>
      <c r="T19" s="1">
        <f t="shared" si="45"/>
        <v>0</v>
      </c>
      <c r="U19" s="1">
        <f t="shared" si="45"/>
        <v>0</v>
      </c>
      <c r="V19" s="1">
        <f t="shared" si="45"/>
        <v>0</v>
      </c>
      <c r="W19" s="1">
        <f t="shared" si="45"/>
        <v>0</v>
      </c>
      <c r="X19" s="1">
        <f t="shared" si="45"/>
        <v>0</v>
      </c>
      <c r="Y19" s="1">
        <f t="shared" si="45"/>
        <v>0</v>
      </c>
      <c r="Z19" s="1">
        <f t="shared" si="45"/>
        <v>0</v>
      </c>
      <c r="AA19" s="1">
        <f t="shared" si="45"/>
        <v>0</v>
      </c>
      <c r="AB19" s="1">
        <f t="shared" si="45"/>
        <v>0</v>
      </c>
      <c r="AC19" s="1">
        <f t="shared" si="45"/>
        <v>0</v>
      </c>
      <c r="AD19" s="1">
        <f t="shared" si="45"/>
        <v>2</v>
      </c>
      <c r="AE19" s="1">
        <f t="shared" si="45"/>
        <v>29</v>
      </c>
      <c r="AF19" s="1">
        <f t="shared" si="45"/>
        <v>387</v>
      </c>
      <c r="AG19" s="1">
        <f t="shared" si="45"/>
        <v>5041</v>
      </c>
      <c r="AH19" s="1">
        <f t="shared" si="19"/>
        <v>65535</v>
      </c>
    </row>
    <row r="20" spans="1:34">
      <c r="A20" s="1">
        <f t="shared" si="20"/>
        <v>14</v>
      </c>
      <c r="B20" s="1" t="str">
        <f t="shared" si="28"/>
        <v>0</v>
      </c>
      <c r="C20" s="1" t="str">
        <f t="shared" si="28"/>
        <v>0</v>
      </c>
      <c r="D20" s="1" t="str">
        <f t="shared" si="29"/>
        <v>0</v>
      </c>
      <c r="E20" s="1" t="str">
        <f t="shared" si="30"/>
        <v>0</v>
      </c>
      <c r="F20" s="1" t="str">
        <f t="shared" si="31"/>
        <v>0</v>
      </c>
      <c r="G20" s="1" t="str">
        <f t="shared" si="32"/>
        <v>0</v>
      </c>
      <c r="H20" s="1" t="str">
        <f t="shared" si="33"/>
        <v>0</v>
      </c>
      <c r="I20" s="1" t="str">
        <f t="shared" si="34"/>
        <v>0</v>
      </c>
      <c r="J20" s="1" t="str">
        <f t="shared" si="35"/>
        <v>0</v>
      </c>
      <c r="K20" s="1" t="str">
        <f t="shared" si="36"/>
        <v>0</v>
      </c>
      <c r="L20" s="1" t="str">
        <f t="shared" si="37"/>
        <v>0</v>
      </c>
      <c r="M20" s="1" t="str">
        <f t="shared" si="38"/>
        <v>1</v>
      </c>
      <c r="N20" s="1" t="str">
        <f t="shared" si="39"/>
        <v>9</v>
      </c>
      <c r="O20" s="1" t="str">
        <f t="shared" si="40"/>
        <v>C</v>
      </c>
      <c r="P20" s="1" t="str">
        <f t="shared" si="41"/>
        <v>5</v>
      </c>
      <c r="Q20" s="1" t="str">
        <f>TEXT(DEC2HEX(MOD(AH20,$A20)),"0")</f>
        <v>1</v>
      </c>
      <c r="S20" s="1">
        <f t="shared" ref="S20:AG20" si="46">+INT(T20/$A20)</f>
        <v>0</v>
      </c>
      <c r="T20" s="1">
        <f t="shared" si="46"/>
        <v>0</v>
      </c>
      <c r="U20" s="1">
        <f t="shared" si="46"/>
        <v>0</v>
      </c>
      <c r="V20" s="1">
        <f t="shared" si="46"/>
        <v>0</v>
      </c>
      <c r="W20" s="1">
        <f t="shared" si="46"/>
        <v>0</v>
      </c>
      <c r="X20" s="1">
        <f t="shared" si="46"/>
        <v>0</v>
      </c>
      <c r="Y20" s="1">
        <f t="shared" si="46"/>
        <v>0</v>
      </c>
      <c r="Z20" s="1">
        <f t="shared" si="46"/>
        <v>0</v>
      </c>
      <c r="AA20" s="1">
        <f t="shared" si="46"/>
        <v>0</v>
      </c>
      <c r="AB20" s="1">
        <f t="shared" si="46"/>
        <v>0</v>
      </c>
      <c r="AC20" s="1">
        <f t="shared" si="46"/>
        <v>0</v>
      </c>
      <c r="AD20" s="1">
        <f t="shared" si="46"/>
        <v>1</v>
      </c>
      <c r="AE20" s="1">
        <f t="shared" si="46"/>
        <v>23</v>
      </c>
      <c r="AF20" s="1">
        <f t="shared" si="46"/>
        <v>334</v>
      </c>
      <c r="AG20" s="1">
        <f t="shared" si="46"/>
        <v>4681</v>
      </c>
      <c r="AH20" s="1">
        <f t="shared" si="19"/>
        <v>65535</v>
      </c>
    </row>
    <row r="21" spans="1:34">
      <c r="A21" s="1">
        <f t="shared" si="20"/>
        <v>15</v>
      </c>
      <c r="B21" s="1" t="str">
        <f t="shared" si="28"/>
        <v>0</v>
      </c>
      <c r="C21" s="1" t="str">
        <f t="shared" si="28"/>
        <v>0</v>
      </c>
      <c r="D21" s="1" t="str">
        <f t="shared" si="29"/>
        <v>0</v>
      </c>
      <c r="E21" s="1" t="str">
        <f t="shared" si="30"/>
        <v>0</v>
      </c>
      <c r="F21" s="1" t="str">
        <f t="shared" si="31"/>
        <v>0</v>
      </c>
      <c r="G21" s="1" t="str">
        <f t="shared" si="32"/>
        <v>0</v>
      </c>
      <c r="H21" s="1" t="str">
        <f t="shared" si="33"/>
        <v>0</v>
      </c>
      <c r="I21" s="1" t="str">
        <f t="shared" si="34"/>
        <v>0</v>
      </c>
      <c r="J21" s="1" t="str">
        <f t="shared" si="35"/>
        <v>0</v>
      </c>
      <c r="K21" s="1" t="str">
        <f t="shared" si="36"/>
        <v>0</v>
      </c>
      <c r="L21" s="1" t="str">
        <f t="shared" si="37"/>
        <v>0</v>
      </c>
      <c r="M21" s="1" t="str">
        <f t="shared" si="38"/>
        <v>1</v>
      </c>
      <c r="N21" s="1" t="str">
        <f t="shared" si="39"/>
        <v>4</v>
      </c>
      <c r="O21" s="1" t="str">
        <f t="shared" si="40"/>
        <v>6</v>
      </c>
      <c r="P21" s="1" t="str">
        <f t="shared" si="41"/>
        <v>4</v>
      </c>
      <c r="Q21" s="1" t="str">
        <f t="shared" ref="Q21:Q22" si="47">TEXT(DEC2HEX(MOD(AH21,$A21)),"0")</f>
        <v>0</v>
      </c>
      <c r="S21" s="1">
        <f t="shared" ref="S21:AG21" si="48">+INT(T21/$A21)</f>
        <v>0</v>
      </c>
      <c r="T21" s="1">
        <f t="shared" si="48"/>
        <v>0</v>
      </c>
      <c r="U21" s="1">
        <f t="shared" si="48"/>
        <v>0</v>
      </c>
      <c r="V21" s="1">
        <f t="shared" si="48"/>
        <v>0</v>
      </c>
      <c r="W21" s="1">
        <f t="shared" si="48"/>
        <v>0</v>
      </c>
      <c r="X21" s="1">
        <f t="shared" si="48"/>
        <v>0</v>
      </c>
      <c r="Y21" s="1">
        <f t="shared" si="48"/>
        <v>0</v>
      </c>
      <c r="Z21" s="1">
        <f t="shared" si="48"/>
        <v>0</v>
      </c>
      <c r="AA21" s="1">
        <f t="shared" si="48"/>
        <v>0</v>
      </c>
      <c r="AB21" s="1">
        <f t="shared" si="48"/>
        <v>0</v>
      </c>
      <c r="AC21" s="1">
        <f t="shared" si="48"/>
        <v>0</v>
      </c>
      <c r="AD21" s="1">
        <f t="shared" si="48"/>
        <v>1</v>
      </c>
      <c r="AE21" s="1">
        <f t="shared" si="48"/>
        <v>19</v>
      </c>
      <c r="AF21" s="1">
        <f t="shared" si="48"/>
        <v>291</v>
      </c>
      <c r="AG21" s="1">
        <f t="shared" si="48"/>
        <v>4369</v>
      </c>
      <c r="AH21" s="1">
        <f t="shared" si="19"/>
        <v>65535</v>
      </c>
    </row>
    <row r="22" spans="1:34">
      <c r="A22" s="1">
        <f t="shared" si="20"/>
        <v>16</v>
      </c>
      <c r="B22" s="1" t="str">
        <f t="shared" si="28"/>
        <v>0</v>
      </c>
      <c r="C22" s="1" t="str">
        <f t="shared" si="28"/>
        <v>0</v>
      </c>
      <c r="D22" s="1" t="str">
        <f t="shared" si="29"/>
        <v>0</v>
      </c>
      <c r="E22" s="1" t="str">
        <f t="shared" si="30"/>
        <v>0</v>
      </c>
      <c r="F22" s="1" t="str">
        <f t="shared" si="31"/>
        <v>0</v>
      </c>
      <c r="G22" s="1" t="str">
        <f t="shared" si="32"/>
        <v>0</v>
      </c>
      <c r="H22" s="1" t="str">
        <f t="shared" si="33"/>
        <v>0</v>
      </c>
      <c r="I22" s="1" t="str">
        <f t="shared" si="34"/>
        <v>0</v>
      </c>
      <c r="J22" s="1" t="str">
        <f t="shared" si="35"/>
        <v>0</v>
      </c>
      <c r="K22" s="1" t="str">
        <f t="shared" si="36"/>
        <v>0</v>
      </c>
      <c r="L22" s="1" t="str">
        <f t="shared" si="37"/>
        <v>0</v>
      </c>
      <c r="M22" s="1" t="str">
        <f t="shared" si="38"/>
        <v>0</v>
      </c>
      <c r="N22" s="1" t="str">
        <f t="shared" si="39"/>
        <v>F</v>
      </c>
      <c r="O22" s="1" t="str">
        <f t="shared" si="40"/>
        <v>F</v>
      </c>
      <c r="P22" s="1" t="str">
        <f t="shared" si="41"/>
        <v>F</v>
      </c>
      <c r="Q22" s="1" t="str">
        <f t="shared" si="47"/>
        <v>F</v>
      </c>
      <c r="S22" s="1">
        <f t="shared" ref="S22:AG22" si="49">+INT(T22/$A22)</f>
        <v>0</v>
      </c>
      <c r="T22" s="1">
        <f t="shared" si="49"/>
        <v>0</v>
      </c>
      <c r="U22" s="1">
        <f t="shared" si="49"/>
        <v>0</v>
      </c>
      <c r="V22" s="1">
        <f t="shared" si="49"/>
        <v>0</v>
      </c>
      <c r="W22" s="1">
        <f t="shared" si="49"/>
        <v>0</v>
      </c>
      <c r="X22" s="1">
        <f t="shared" si="49"/>
        <v>0</v>
      </c>
      <c r="Y22" s="1">
        <f t="shared" si="49"/>
        <v>0</v>
      </c>
      <c r="Z22" s="1">
        <f t="shared" si="49"/>
        <v>0</v>
      </c>
      <c r="AA22" s="1">
        <f t="shared" si="49"/>
        <v>0</v>
      </c>
      <c r="AB22" s="1">
        <f t="shared" si="49"/>
        <v>0</v>
      </c>
      <c r="AC22" s="1">
        <f t="shared" si="49"/>
        <v>0</v>
      </c>
      <c r="AD22" s="1">
        <f t="shared" si="49"/>
        <v>0</v>
      </c>
      <c r="AE22" s="1">
        <f t="shared" si="49"/>
        <v>15</v>
      </c>
      <c r="AF22" s="1">
        <f t="shared" si="49"/>
        <v>255</v>
      </c>
      <c r="AG22" s="1">
        <f t="shared" si="49"/>
        <v>4095</v>
      </c>
      <c r="AH22" s="1">
        <f t="shared" si="19"/>
        <v>65535</v>
      </c>
    </row>
  </sheetData>
  <mergeCells count="5">
    <mergeCell ref="B7:Q7"/>
    <mergeCell ref="B1:Q1"/>
    <mergeCell ref="S7:AH7"/>
    <mergeCell ref="B4:E4"/>
    <mergeCell ref="B3:E3"/>
  </mergeCells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A1:G18"/>
  <sheetViews>
    <sheetView workbookViewId="0">
      <selection activeCell="F9" sqref="F9"/>
    </sheetView>
  </sheetViews>
  <sheetFormatPr baseColWidth="10" defaultRowHeight="15"/>
  <cols>
    <col min="1" max="3" width="21.140625" customWidth="1"/>
    <col min="5" max="7" width="21.140625" customWidth="1"/>
  </cols>
  <sheetData>
    <row r="1" spans="1:7">
      <c r="A1" s="10" t="s">
        <v>13</v>
      </c>
      <c r="E1" s="10" t="s">
        <v>17</v>
      </c>
    </row>
    <row r="2" spans="1:7">
      <c r="A2" s="1" t="s">
        <v>16</v>
      </c>
      <c r="B2" s="1" t="s">
        <v>14</v>
      </c>
      <c r="C2" s="1" t="s">
        <v>15</v>
      </c>
      <c r="E2" s="1" t="s">
        <v>16</v>
      </c>
      <c r="F2" s="1" t="s">
        <v>14</v>
      </c>
    </row>
    <row r="3" spans="1:7">
      <c r="A3" s="9">
        <v>106</v>
      </c>
      <c r="B3" s="1" t="str">
        <f t="shared" ref="B3:B6" si="0">+DEC2HEX(A3)</f>
        <v>6A</v>
      </c>
      <c r="C3" s="1" t="str">
        <f>+DEC2HEX(SUM($A$1:A3))</f>
        <v>6A</v>
      </c>
      <c r="E3" s="1">
        <f>ROUNDDOWN(AVERAGE(A3:A18),0)</f>
        <v>131</v>
      </c>
      <c r="F3" s="1" t="str">
        <f>+DEC2HEX(E3)</f>
        <v>83</v>
      </c>
    </row>
    <row r="4" spans="1:7">
      <c r="A4" s="9">
        <v>211</v>
      </c>
      <c r="B4" s="1" t="str">
        <f t="shared" si="0"/>
        <v>D3</v>
      </c>
      <c r="C4" s="1" t="str">
        <f>+DEC2HEX(SUM($A$1:A4))</f>
        <v>13D</v>
      </c>
    </row>
    <row r="5" spans="1:7">
      <c r="A5" s="9">
        <v>67</v>
      </c>
      <c r="B5" s="1" t="str">
        <f t="shared" si="0"/>
        <v>43</v>
      </c>
      <c r="C5" s="1" t="str">
        <f>+DEC2HEX(SUM($A$1:A5))</f>
        <v>180</v>
      </c>
      <c r="E5" s="14" t="s">
        <v>18</v>
      </c>
      <c r="F5" s="14"/>
      <c r="G5" t="str">
        <f>+CONCATENARCELDAS(A3:A18)</f>
        <v>106,211,67,162,10,210,71,147,148,82,79,66,242,143,227,134</v>
      </c>
    </row>
    <row r="6" spans="1:7">
      <c r="A6" s="9">
        <v>162</v>
      </c>
      <c r="B6" s="1" t="str">
        <f t="shared" si="0"/>
        <v>A2</v>
      </c>
      <c r="C6" s="1" t="str">
        <f>+DEC2HEX(SUM($A$1:A6))</f>
        <v>222</v>
      </c>
    </row>
    <row r="7" spans="1:7">
      <c r="A7" s="9">
        <v>10</v>
      </c>
      <c r="B7" s="1" t="str">
        <f t="shared" ref="B7" si="1">+DEC2HEX(A7)</f>
        <v>A</v>
      </c>
      <c r="C7" s="1" t="str">
        <f>+DEC2HEX(SUM($A$1:A7))</f>
        <v>22C</v>
      </c>
    </row>
    <row r="8" spans="1:7">
      <c r="A8" s="9">
        <v>210</v>
      </c>
      <c r="B8" s="1" t="str">
        <f t="shared" ref="B8" si="2">+DEC2HEX(A8)</f>
        <v>D2</v>
      </c>
      <c r="C8" s="1" t="str">
        <f>+DEC2HEX(SUM($A$1:A8))</f>
        <v>2FE</v>
      </c>
      <c r="E8" s="1" t="s">
        <v>19</v>
      </c>
    </row>
    <row r="9" spans="1:7">
      <c r="A9" s="9">
        <v>71</v>
      </c>
      <c r="B9" s="1" t="str">
        <f t="shared" ref="B9" si="3">+DEC2HEX(A9)</f>
        <v>47</v>
      </c>
      <c r="C9" s="1" t="str">
        <f>+DEC2HEX(SUM($A$1:A9))</f>
        <v>345</v>
      </c>
      <c r="E9" s="9">
        <f ca="1">+RANDBETWEEN(0,255)</f>
        <v>204</v>
      </c>
    </row>
    <row r="10" spans="1:7">
      <c r="A10" s="9">
        <v>147</v>
      </c>
      <c r="B10" s="1" t="str">
        <f t="shared" ref="B10" si="4">+DEC2HEX(A10)</f>
        <v>93</v>
      </c>
      <c r="C10" s="1" t="str">
        <f>+DEC2HEX(SUM($A$1:A10))</f>
        <v>3D8</v>
      </c>
    </row>
    <row r="11" spans="1:7">
      <c r="A11" s="9">
        <v>148</v>
      </c>
      <c r="B11" s="1" t="str">
        <f t="shared" ref="B11" si="5">+DEC2HEX(A11)</f>
        <v>94</v>
      </c>
      <c r="C11" s="1" t="str">
        <f>+DEC2HEX(SUM($A$1:A11))</f>
        <v>46C</v>
      </c>
    </row>
    <row r="12" spans="1:7">
      <c r="A12" s="9">
        <v>82</v>
      </c>
      <c r="B12" s="1" t="str">
        <f t="shared" ref="B12" si="6">+DEC2HEX(A12)</f>
        <v>52</v>
      </c>
      <c r="C12" s="1" t="str">
        <f>+DEC2HEX(SUM($A$1:A12))</f>
        <v>4BE</v>
      </c>
    </row>
    <row r="13" spans="1:7">
      <c r="A13" s="9">
        <v>79</v>
      </c>
      <c r="B13" s="1" t="str">
        <f t="shared" ref="B13" si="7">+DEC2HEX(A13)</f>
        <v>4F</v>
      </c>
      <c r="C13" s="1" t="str">
        <f>+DEC2HEX(SUM($A$1:A13))</f>
        <v>50D</v>
      </c>
    </row>
    <row r="14" spans="1:7">
      <c r="A14" s="9">
        <v>66</v>
      </c>
      <c r="B14" s="1" t="str">
        <f t="shared" ref="B14" si="8">+DEC2HEX(A14)</f>
        <v>42</v>
      </c>
      <c r="C14" s="1" t="str">
        <f>+DEC2HEX(SUM($A$1:A14))</f>
        <v>54F</v>
      </c>
    </row>
    <row r="15" spans="1:7">
      <c r="A15" s="9">
        <v>242</v>
      </c>
      <c r="B15" s="1" t="str">
        <f t="shared" ref="B15" si="9">+DEC2HEX(A15)</f>
        <v>F2</v>
      </c>
      <c r="C15" s="1" t="str">
        <f>+DEC2HEX(SUM($A$1:A15))</f>
        <v>641</v>
      </c>
    </row>
    <row r="16" spans="1:7">
      <c r="A16" s="9">
        <v>143</v>
      </c>
      <c r="B16" s="1" t="str">
        <f t="shared" ref="B16" si="10">+DEC2HEX(A16)</f>
        <v>8F</v>
      </c>
      <c r="C16" s="1" t="str">
        <f>+DEC2HEX(SUM($A$1:A16))</f>
        <v>6D0</v>
      </c>
    </row>
    <row r="17" spans="1:3">
      <c r="A17" s="9">
        <v>227</v>
      </c>
      <c r="B17" s="1" t="str">
        <f t="shared" ref="B17" si="11">+DEC2HEX(A17)</f>
        <v>E3</v>
      </c>
      <c r="C17" s="1" t="str">
        <f>+DEC2HEX(SUM($A$1:A17))</f>
        <v>7B3</v>
      </c>
    </row>
    <row r="18" spans="1:3">
      <c r="A18" s="9">
        <v>134</v>
      </c>
      <c r="B18" s="1" t="str">
        <f t="shared" ref="B18" si="12">+DEC2HEX(A18)</f>
        <v>86</v>
      </c>
      <c r="C18" s="1" t="str">
        <f>+DEC2HEX(SUM($A$1:A18))</f>
        <v>839</v>
      </c>
    </row>
  </sheetData>
  <mergeCells count="1">
    <mergeCell ref="E5:F5"/>
  </mergeCells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A1:J23"/>
  <sheetViews>
    <sheetView tabSelected="1" workbookViewId="0">
      <selection activeCell="E2" sqref="E2:E21"/>
    </sheetView>
  </sheetViews>
  <sheetFormatPr baseColWidth="10" defaultRowHeight="15"/>
  <cols>
    <col min="5" max="5" width="17.42578125" bestFit="1" customWidth="1"/>
    <col min="7" max="7" width="12" bestFit="1" customWidth="1"/>
    <col min="8" max="8" width="13.85546875" customWidth="1"/>
    <col min="9" max="9" width="24.42578125" customWidth="1"/>
    <col min="10" max="10" width="11.85546875" bestFit="1" customWidth="1"/>
  </cols>
  <sheetData>
    <row r="1" spans="1:10">
      <c r="A1" t="s">
        <v>20</v>
      </c>
      <c r="B1" t="s">
        <v>13</v>
      </c>
      <c r="C1" t="s">
        <v>21</v>
      </c>
      <c r="D1" t="s">
        <v>22</v>
      </c>
      <c r="E1" t="s">
        <v>25</v>
      </c>
      <c r="G1" t="s">
        <v>24</v>
      </c>
      <c r="H1" s="15">
        <v>30</v>
      </c>
    </row>
    <row r="2" spans="1:10">
      <c r="A2">
        <v>1</v>
      </c>
      <c r="B2">
        <f>IF(COUNTA(C2:D2)=0,A2*3,SUM(C2:D2))</f>
        <v>3</v>
      </c>
      <c r="E2" s="16" t="str">
        <f>+IF(D2="","","00"&amp;DEC2HEX($H$2+$A2-1))</f>
        <v/>
      </c>
      <c r="G2" t="s">
        <v>24</v>
      </c>
      <c r="H2">
        <f>+HEX2DEC(30)</f>
        <v>48</v>
      </c>
    </row>
    <row r="3" spans="1:10">
      <c r="A3">
        <f>+A2+1</f>
        <v>2</v>
      </c>
      <c r="B3">
        <f t="shared" ref="B3:B21" si="0">IF(COUNTA(C3:D3)=0,A3*3,SUM(C3:D3))</f>
        <v>-8</v>
      </c>
      <c r="C3">
        <f>+(-4*A3)</f>
        <v>-8</v>
      </c>
      <c r="E3" s="16" t="str">
        <f t="shared" ref="E3:E21" si="1">+IF(D3="","","00"&amp;DEC2HEX($H$2+$A3-1))</f>
        <v/>
      </c>
    </row>
    <row r="4" spans="1:10">
      <c r="A4">
        <f t="shared" ref="A4:A21" si="2">+A3+1</f>
        <v>3</v>
      </c>
      <c r="B4">
        <f t="shared" si="0"/>
        <v>0</v>
      </c>
      <c r="D4">
        <v>0</v>
      </c>
      <c r="E4" s="16" t="str">
        <f t="shared" si="1"/>
        <v>0032</v>
      </c>
    </row>
    <row r="5" spans="1:10">
      <c r="A5">
        <f t="shared" si="2"/>
        <v>4</v>
      </c>
      <c r="B5">
        <f t="shared" si="0"/>
        <v>12</v>
      </c>
      <c r="E5" s="16" t="str">
        <f t="shared" si="1"/>
        <v/>
      </c>
      <c r="H5" s="14" t="s">
        <v>18</v>
      </c>
      <c r="I5" s="14"/>
      <c r="J5" t="str">
        <f>+CONCATENARCELDAS(B2:B21)</f>
        <v>3,-8,0,12,15,-24,0,24,27,-40,33,0,39,-56,45,0,-68,54,-76,0</v>
      </c>
    </row>
    <row r="6" spans="1:10">
      <c r="A6">
        <f t="shared" si="2"/>
        <v>5</v>
      </c>
      <c r="B6">
        <f t="shared" si="0"/>
        <v>15</v>
      </c>
      <c r="E6" s="16" t="str">
        <f t="shared" si="1"/>
        <v/>
      </c>
    </row>
    <row r="7" spans="1:10">
      <c r="A7">
        <f t="shared" si="2"/>
        <v>6</v>
      </c>
      <c r="B7">
        <f t="shared" si="0"/>
        <v>-24</v>
      </c>
      <c r="C7">
        <f>+(-4*A7)</f>
        <v>-24</v>
      </c>
      <c r="E7" s="16" t="str">
        <f t="shared" si="1"/>
        <v/>
      </c>
      <c r="J7" t="str">
        <f>+CONCATENARCELDAS(E2:E21)</f>
        <v>0032,0036,003B,003F,0043</v>
      </c>
    </row>
    <row r="8" spans="1:10">
      <c r="A8">
        <f t="shared" si="2"/>
        <v>7</v>
      </c>
      <c r="B8">
        <f t="shared" si="0"/>
        <v>0</v>
      </c>
      <c r="D8">
        <v>0</v>
      </c>
      <c r="E8" s="16" t="str">
        <f t="shared" si="1"/>
        <v>0036</v>
      </c>
    </row>
    <row r="9" spans="1:10">
      <c r="A9">
        <f t="shared" si="2"/>
        <v>8</v>
      </c>
      <c r="B9">
        <f t="shared" si="0"/>
        <v>24</v>
      </c>
      <c r="E9" s="16" t="str">
        <f t="shared" si="1"/>
        <v/>
      </c>
    </row>
    <row r="10" spans="1:10">
      <c r="A10">
        <f t="shared" si="2"/>
        <v>9</v>
      </c>
      <c r="B10">
        <f t="shared" si="0"/>
        <v>27</v>
      </c>
      <c r="E10" s="16" t="str">
        <f t="shared" si="1"/>
        <v/>
      </c>
      <c r="G10" t="str">
        <f>+DEC2HEX(C3)</f>
        <v>FFFFFFFFF8</v>
      </c>
    </row>
    <row r="11" spans="1:10">
      <c r="A11">
        <f t="shared" si="2"/>
        <v>10</v>
      </c>
      <c r="B11">
        <f t="shared" si="0"/>
        <v>-40</v>
      </c>
      <c r="C11">
        <f>+(-4*A11)</f>
        <v>-40</v>
      </c>
      <c r="E11" s="16" t="str">
        <f t="shared" si="1"/>
        <v/>
      </c>
      <c r="G11" t="str">
        <f>+DEC2BIN(C3)</f>
        <v>1111111000</v>
      </c>
    </row>
    <row r="12" spans="1:10">
      <c r="A12">
        <f t="shared" si="2"/>
        <v>11</v>
      </c>
      <c r="B12">
        <f t="shared" si="0"/>
        <v>33</v>
      </c>
      <c r="E12" s="16" t="str">
        <f t="shared" si="1"/>
        <v/>
      </c>
    </row>
    <row r="13" spans="1:10">
      <c r="A13">
        <f t="shared" si="2"/>
        <v>12</v>
      </c>
      <c r="B13">
        <f t="shared" si="0"/>
        <v>0</v>
      </c>
      <c r="D13">
        <v>0</v>
      </c>
      <c r="E13" s="16" t="str">
        <f t="shared" si="1"/>
        <v>003B</v>
      </c>
    </row>
    <row r="14" spans="1:10">
      <c r="A14">
        <f t="shared" si="2"/>
        <v>13</v>
      </c>
      <c r="B14">
        <f t="shared" si="0"/>
        <v>39</v>
      </c>
      <c r="E14" s="16" t="str">
        <f t="shared" si="1"/>
        <v/>
      </c>
    </row>
    <row r="15" spans="1:10">
      <c r="A15">
        <f t="shared" si="2"/>
        <v>14</v>
      </c>
      <c r="B15">
        <f t="shared" si="0"/>
        <v>-56</v>
      </c>
      <c r="C15">
        <f>+(-4*A15)</f>
        <v>-56</v>
      </c>
      <c r="E15" s="16" t="str">
        <f t="shared" si="1"/>
        <v/>
      </c>
    </row>
    <row r="16" spans="1:10">
      <c r="A16">
        <f t="shared" si="2"/>
        <v>15</v>
      </c>
      <c r="B16">
        <f t="shared" si="0"/>
        <v>45</v>
      </c>
      <c r="E16" s="16" t="str">
        <f t="shared" si="1"/>
        <v/>
      </c>
    </row>
    <row r="17" spans="1:5">
      <c r="A17">
        <f t="shared" si="2"/>
        <v>16</v>
      </c>
      <c r="B17">
        <f t="shared" si="0"/>
        <v>0</v>
      </c>
      <c r="D17">
        <v>0</v>
      </c>
      <c r="E17" s="16" t="str">
        <f t="shared" si="1"/>
        <v>003F</v>
      </c>
    </row>
    <row r="18" spans="1:5">
      <c r="A18">
        <f t="shared" si="2"/>
        <v>17</v>
      </c>
      <c r="B18">
        <f t="shared" si="0"/>
        <v>-68</v>
      </c>
      <c r="C18">
        <f>+(-4*A18)</f>
        <v>-68</v>
      </c>
      <c r="E18" s="16" t="str">
        <f t="shared" si="1"/>
        <v/>
      </c>
    </row>
    <row r="19" spans="1:5">
      <c r="A19">
        <f t="shared" si="2"/>
        <v>18</v>
      </c>
      <c r="B19">
        <f t="shared" si="0"/>
        <v>54</v>
      </c>
      <c r="E19" s="16" t="str">
        <f t="shared" si="1"/>
        <v/>
      </c>
    </row>
    <row r="20" spans="1:5">
      <c r="A20">
        <f t="shared" si="2"/>
        <v>19</v>
      </c>
      <c r="B20">
        <f t="shared" si="0"/>
        <v>-76</v>
      </c>
      <c r="C20">
        <f>+(-4*A20)</f>
        <v>-76</v>
      </c>
      <c r="E20" s="16" t="str">
        <f t="shared" si="1"/>
        <v/>
      </c>
    </row>
    <row r="21" spans="1:5">
      <c r="A21">
        <f t="shared" si="2"/>
        <v>20</v>
      </c>
      <c r="B21">
        <f t="shared" si="0"/>
        <v>0</v>
      </c>
      <c r="D21">
        <v>0</v>
      </c>
      <c r="E21" s="16" t="str">
        <f t="shared" si="1"/>
        <v>0043</v>
      </c>
    </row>
    <row r="23" spans="1:5">
      <c r="A23" t="s">
        <v>23</v>
      </c>
      <c r="C23">
        <f>+COUNTA(C2:C21)</f>
        <v>6</v>
      </c>
      <c r="D23">
        <f>+COUNTA(D2:D21)</f>
        <v>5</v>
      </c>
    </row>
  </sheetData>
  <mergeCells count="1">
    <mergeCell ref="H5:I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SUMA</vt:lpstr>
      <vt:lpstr>RESTA</vt:lpstr>
      <vt:lpstr>CONVERSION</vt:lpstr>
      <vt:lpstr>DEC_A_RESTO</vt:lpstr>
      <vt:lpstr>19_PROMEDIO</vt:lpstr>
      <vt:lpstr>22_VECTOR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Del Rio</dc:creator>
  <cp:lastModifiedBy>Nicolas del Rio</cp:lastModifiedBy>
  <dcterms:created xsi:type="dcterms:W3CDTF">2017-09-08T18:05:03Z</dcterms:created>
  <dcterms:modified xsi:type="dcterms:W3CDTF">2017-10-08T08:41:57Z</dcterms:modified>
</cp:coreProperties>
</file>